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esenv\LABpythonAnywhere\geral\"/>
    </mc:Choice>
  </mc:AlternateContent>
  <xr:revisionPtr revIDLastSave="0" documentId="13_ncr:1_{672D3822-9C46-4912-8657-FE64A98A776C}" xr6:coauthVersionLast="47" xr6:coauthVersionMax="47" xr10:uidLastSave="{00000000-0000-0000-0000-000000000000}"/>
  <bookViews>
    <workbookView xWindow="-28920" yWindow="-120" windowWidth="29040" windowHeight="16440" firstSheet="2" activeTab="3" xr2:uid="{00000000-000D-0000-FFFF-FFFF00000000}"/>
  </bookViews>
  <sheets>
    <sheet name="unidade" sheetId="8" r:id="rId1"/>
    <sheet name="parametros" sheetId="1" r:id="rId2"/>
    <sheet name="AulasRemotas" sheetId="7" r:id="rId3"/>
    <sheet name="Prof1-1234567" sheetId="3" r:id="rId4"/>
    <sheet name="calendarioFeriados" sheetId="6" r:id="rId5"/>
    <sheet name="cursos" sheetId="9" r:id="rId6"/>
    <sheet name="cursoDisciplina" sheetId="11" r:id="rId7"/>
    <sheet name="disciplinaBase" sheetId="10" r:id="rId8"/>
    <sheet name="disciplinaGrade" sheetId="1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3" l="1"/>
  <c r="E24" i="3"/>
  <c r="F24" i="3"/>
  <c r="G24" i="3"/>
  <c r="H24" i="3"/>
  <c r="I24" i="3"/>
  <c r="J24" i="3"/>
  <c r="K24" i="3"/>
  <c r="D25" i="3"/>
  <c r="E25" i="3"/>
  <c r="F25" i="3"/>
  <c r="G25" i="3"/>
  <c r="H25" i="3"/>
  <c r="I25" i="3"/>
  <c r="J25" i="3"/>
  <c r="K25" i="3"/>
  <c r="D26" i="3"/>
  <c r="E26" i="3"/>
  <c r="F26" i="3"/>
  <c r="G26" i="3"/>
  <c r="H26" i="3"/>
  <c r="I26" i="3"/>
  <c r="J26" i="3"/>
  <c r="K26" i="3"/>
  <c r="C27" i="3"/>
  <c r="D27" i="3"/>
  <c r="E27" i="3"/>
  <c r="F27" i="3"/>
  <c r="G27" i="3"/>
  <c r="H27" i="3"/>
  <c r="I27" i="3"/>
  <c r="J27" i="3"/>
  <c r="K27" i="3"/>
  <c r="C28" i="3"/>
  <c r="D28" i="3"/>
  <c r="E28" i="3"/>
  <c r="F28" i="3"/>
  <c r="G28" i="3"/>
  <c r="H28" i="3"/>
  <c r="I28" i="3"/>
  <c r="J28" i="3"/>
  <c r="K28" i="3"/>
  <c r="C29" i="3"/>
  <c r="D29" i="3"/>
  <c r="E29" i="3"/>
  <c r="F29" i="3"/>
  <c r="G29" i="3"/>
  <c r="H29" i="3"/>
  <c r="I29" i="3"/>
  <c r="J29" i="3"/>
  <c r="K29" i="3"/>
  <c r="C30" i="3"/>
  <c r="D30" i="3"/>
  <c r="E30" i="3"/>
  <c r="F30" i="3"/>
  <c r="G30" i="3"/>
  <c r="H30" i="3"/>
  <c r="I30" i="3"/>
  <c r="J30" i="3"/>
  <c r="K30" i="3"/>
  <c r="C31" i="3"/>
  <c r="D31" i="3"/>
  <c r="E31" i="3"/>
  <c r="F31" i="3"/>
  <c r="G31" i="3"/>
  <c r="H31" i="3"/>
  <c r="I31" i="3"/>
  <c r="J31" i="3"/>
  <c r="K31" i="3"/>
  <c r="C32" i="3"/>
  <c r="D32" i="3"/>
  <c r="E32" i="3"/>
  <c r="F32" i="3"/>
  <c r="G32" i="3"/>
  <c r="H32" i="3"/>
  <c r="I32" i="3"/>
  <c r="J32" i="3"/>
  <c r="K32" i="3"/>
  <c r="C33" i="3"/>
  <c r="D33" i="3"/>
  <c r="E33" i="3"/>
  <c r="F33" i="3"/>
  <c r="G33" i="3"/>
  <c r="H33" i="3"/>
  <c r="I33" i="3"/>
  <c r="J33" i="3"/>
  <c r="K33" i="3"/>
  <c r="C34" i="3"/>
  <c r="D34" i="3"/>
  <c r="E34" i="3"/>
  <c r="F34" i="3"/>
  <c r="G34" i="3"/>
  <c r="H34" i="3"/>
  <c r="I34" i="3"/>
  <c r="J34" i="3"/>
  <c r="K34" i="3"/>
  <c r="C35" i="3"/>
  <c r="D35" i="3"/>
  <c r="E35" i="3"/>
  <c r="F35" i="3"/>
  <c r="G35" i="3"/>
  <c r="H35" i="3"/>
  <c r="I35" i="3"/>
  <c r="J35" i="3"/>
  <c r="K35" i="3"/>
  <c r="C36" i="3"/>
  <c r="D36" i="3"/>
  <c r="E36" i="3"/>
  <c r="F36" i="3"/>
  <c r="G36" i="3"/>
  <c r="H36" i="3"/>
  <c r="I36" i="3"/>
  <c r="J36" i="3"/>
  <c r="K36" i="3"/>
  <c r="C37" i="3"/>
  <c r="D37" i="3"/>
  <c r="E37" i="3"/>
  <c r="F37" i="3"/>
  <c r="G37" i="3"/>
  <c r="H37" i="3"/>
  <c r="I37" i="3"/>
  <c r="J37" i="3"/>
  <c r="K37" i="3"/>
  <c r="C38" i="3"/>
  <c r="D38" i="3"/>
  <c r="E38" i="3"/>
  <c r="F38" i="3"/>
  <c r="G38" i="3"/>
  <c r="H38" i="3"/>
  <c r="I38" i="3"/>
  <c r="J38" i="3"/>
  <c r="K38" i="3"/>
  <c r="C39" i="3"/>
  <c r="D39" i="3"/>
  <c r="E39" i="3"/>
  <c r="F39" i="3"/>
  <c r="G39" i="3"/>
  <c r="H39" i="3"/>
  <c r="I39" i="3"/>
  <c r="J39" i="3"/>
  <c r="K39" i="3"/>
  <c r="C40" i="3"/>
  <c r="D40" i="3"/>
  <c r="E40" i="3"/>
  <c r="F40" i="3"/>
  <c r="G40" i="3"/>
  <c r="H40" i="3"/>
  <c r="I40" i="3"/>
  <c r="J40" i="3"/>
  <c r="K40" i="3"/>
  <c r="C41" i="3"/>
  <c r="D41" i="3"/>
  <c r="E41" i="3"/>
  <c r="F41" i="3"/>
  <c r="G41" i="3"/>
  <c r="H41" i="3"/>
  <c r="I41" i="3"/>
  <c r="J41" i="3"/>
  <c r="K41" i="3"/>
  <c r="C42" i="3"/>
  <c r="D42" i="3"/>
  <c r="E42" i="3"/>
  <c r="F42" i="3"/>
  <c r="G42" i="3"/>
  <c r="H42" i="3"/>
  <c r="I42" i="3"/>
  <c r="J42" i="3"/>
  <c r="K42" i="3"/>
  <c r="C43" i="3"/>
  <c r="D43" i="3"/>
  <c r="E43" i="3"/>
  <c r="F43" i="3"/>
  <c r="G43" i="3"/>
  <c r="H43" i="3"/>
  <c r="I43" i="3"/>
  <c r="J43" i="3"/>
  <c r="K43" i="3"/>
  <c r="C44" i="3"/>
  <c r="D44" i="3"/>
  <c r="E44" i="3"/>
  <c r="F44" i="3"/>
  <c r="G44" i="3"/>
  <c r="H44" i="3"/>
  <c r="I44" i="3"/>
  <c r="J44" i="3"/>
  <c r="K44" i="3"/>
  <c r="C45" i="3"/>
  <c r="D45" i="3"/>
  <c r="E45" i="3"/>
  <c r="F45" i="3"/>
  <c r="G45" i="3"/>
  <c r="H45" i="3"/>
  <c r="I45" i="3"/>
  <c r="J45" i="3"/>
  <c r="K45" i="3"/>
  <c r="C46" i="3"/>
  <c r="D46" i="3"/>
  <c r="E46" i="3"/>
  <c r="F46" i="3"/>
  <c r="G46" i="3"/>
  <c r="H46" i="3"/>
  <c r="I46" i="3"/>
  <c r="J46" i="3"/>
  <c r="K46" i="3"/>
  <c r="C47" i="3"/>
  <c r="D47" i="3"/>
  <c r="E47" i="3"/>
  <c r="F47" i="3"/>
  <c r="G47" i="3"/>
  <c r="H47" i="3"/>
  <c r="I47" i="3"/>
  <c r="J47" i="3"/>
  <c r="K47" i="3"/>
  <c r="C48" i="3"/>
  <c r="D48" i="3"/>
  <c r="E48" i="3"/>
  <c r="F48" i="3"/>
  <c r="G48" i="3"/>
  <c r="H48" i="3"/>
  <c r="I48" i="3"/>
  <c r="J48" i="3"/>
  <c r="K48" i="3"/>
  <c r="C49" i="3"/>
  <c r="D49" i="3"/>
  <c r="E49" i="3"/>
  <c r="F49" i="3"/>
  <c r="G49" i="3"/>
  <c r="H49" i="3"/>
  <c r="I49" i="3"/>
  <c r="J49" i="3"/>
  <c r="K49" i="3"/>
  <c r="C50" i="3"/>
  <c r="D50" i="3"/>
  <c r="E50" i="3"/>
  <c r="F50" i="3"/>
  <c r="G50" i="3"/>
  <c r="H50" i="3"/>
  <c r="I50" i="3"/>
  <c r="J50" i="3"/>
  <c r="K50" i="3"/>
  <c r="C51" i="3"/>
  <c r="D51" i="3"/>
  <c r="E51" i="3"/>
  <c r="F51" i="3"/>
  <c r="G51" i="3"/>
  <c r="H51" i="3"/>
  <c r="I51" i="3"/>
  <c r="J51" i="3"/>
  <c r="K51" i="3"/>
  <c r="C52" i="3"/>
  <c r="D52" i="3"/>
  <c r="E52" i="3"/>
  <c r="F52" i="3"/>
  <c r="G52" i="3"/>
  <c r="H52" i="3"/>
  <c r="I52" i="3"/>
  <c r="J52" i="3"/>
  <c r="K52" i="3"/>
  <c r="K23" i="3"/>
  <c r="J23" i="3"/>
  <c r="I23" i="3"/>
  <c r="H23" i="3"/>
  <c r="G23" i="3"/>
  <c r="F23" i="3"/>
  <c r="E23" i="3"/>
  <c r="D23" i="3"/>
  <c r="B24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C5" i="12"/>
  <c r="C6" i="12"/>
  <c r="B25" i="3" s="1"/>
  <c r="C7" i="12"/>
  <c r="B26" i="3" s="1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150" i="12"/>
  <c r="C151" i="12"/>
  <c r="C152" i="12"/>
  <c r="C153" i="12"/>
  <c r="C154" i="12"/>
  <c r="C155" i="12"/>
  <c r="C156" i="12"/>
  <c r="C157" i="12"/>
  <c r="C158" i="12"/>
  <c r="C159" i="12"/>
  <c r="C160" i="12"/>
  <c r="C161" i="12"/>
  <c r="C162" i="12"/>
  <c r="C163" i="12"/>
  <c r="C164" i="12"/>
  <c r="C165" i="12"/>
  <c r="C166" i="12"/>
  <c r="C167" i="12"/>
  <c r="C168" i="12"/>
  <c r="C169" i="12"/>
  <c r="C170" i="12"/>
  <c r="C171" i="12"/>
  <c r="C172" i="12"/>
  <c r="C173" i="12"/>
  <c r="C174" i="12"/>
  <c r="C175" i="12"/>
  <c r="C176" i="12"/>
  <c r="C177" i="12"/>
  <c r="C178" i="12"/>
  <c r="C179" i="12"/>
  <c r="C180" i="12"/>
  <c r="C181" i="12"/>
  <c r="C182" i="12"/>
  <c r="C183" i="12"/>
  <c r="C184" i="12"/>
  <c r="C185" i="12"/>
  <c r="C186" i="12"/>
  <c r="C187" i="12"/>
  <c r="C188" i="12"/>
  <c r="C189" i="12"/>
  <c r="C190" i="12"/>
  <c r="C191" i="12"/>
  <c r="C192" i="12"/>
  <c r="C193" i="12"/>
  <c r="C194" i="12"/>
  <c r="C195" i="12"/>
  <c r="C196" i="12"/>
  <c r="C197" i="12"/>
  <c r="C198" i="12"/>
  <c r="C199" i="12"/>
  <c r="C200" i="12"/>
  <c r="C201" i="12"/>
  <c r="C202" i="12"/>
  <c r="C203" i="12"/>
  <c r="C204" i="12"/>
  <c r="C205" i="12"/>
  <c r="C206" i="12"/>
  <c r="C207" i="12"/>
  <c r="C208" i="12"/>
  <c r="C209" i="12"/>
  <c r="C210" i="12"/>
  <c r="C211" i="12"/>
  <c r="C212" i="12"/>
  <c r="C213" i="12"/>
  <c r="C214" i="12"/>
  <c r="C215" i="12"/>
  <c r="C216" i="12"/>
  <c r="C217" i="12"/>
  <c r="C218" i="12"/>
  <c r="C219" i="12"/>
  <c r="C220" i="12"/>
  <c r="C221" i="12"/>
  <c r="C222" i="12"/>
  <c r="C223" i="12"/>
  <c r="C224" i="12"/>
  <c r="C225" i="12"/>
  <c r="C226" i="12"/>
  <c r="C227" i="12"/>
  <c r="C228" i="12"/>
  <c r="C229" i="12"/>
  <c r="C230" i="12"/>
  <c r="C231" i="12"/>
  <c r="C232" i="12"/>
  <c r="C233" i="12"/>
  <c r="C234" i="12"/>
  <c r="C235" i="12"/>
  <c r="C236" i="12"/>
  <c r="C237" i="12"/>
  <c r="C238" i="12"/>
  <c r="C239" i="12"/>
  <c r="C240" i="12"/>
  <c r="C241" i="12"/>
  <c r="C242" i="12"/>
  <c r="C243" i="12"/>
  <c r="C244" i="12"/>
  <c r="C245" i="12"/>
  <c r="C246" i="12"/>
  <c r="C247" i="12"/>
  <c r="C248" i="12"/>
  <c r="C249" i="12"/>
  <c r="C250" i="12"/>
  <c r="C251" i="12"/>
  <c r="C252" i="12"/>
  <c r="C253" i="12"/>
  <c r="C254" i="12"/>
  <c r="C255" i="12"/>
  <c r="C256" i="12"/>
  <c r="C257" i="12"/>
  <c r="C258" i="12"/>
  <c r="C259" i="12"/>
  <c r="C260" i="12"/>
  <c r="C261" i="12"/>
  <c r="C262" i="12"/>
  <c r="C263" i="12"/>
  <c r="C264" i="12"/>
  <c r="C265" i="12"/>
  <c r="C266" i="12"/>
  <c r="C267" i="12"/>
  <c r="C268" i="12"/>
  <c r="C269" i="12"/>
  <c r="C270" i="12"/>
  <c r="C271" i="12"/>
  <c r="C272" i="12"/>
  <c r="C273" i="12"/>
  <c r="C274" i="12"/>
  <c r="C275" i="12"/>
  <c r="C276" i="12"/>
  <c r="C277" i="12"/>
  <c r="C278" i="12"/>
  <c r="C279" i="12"/>
  <c r="C280" i="12"/>
  <c r="C281" i="12"/>
  <c r="C282" i="12"/>
  <c r="C283" i="12"/>
  <c r="C284" i="12"/>
  <c r="C285" i="12"/>
  <c r="C286" i="12"/>
  <c r="C287" i="12"/>
  <c r="C288" i="12"/>
  <c r="C289" i="12"/>
  <c r="C290" i="12"/>
  <c r="C291" i="12"/>
  <c r="C292" i="12"/>
  <c r="C293" i="12"/>
  <c r="C294" i="12"/>
  <c r="C295" i="12"/>
  <c r="C296" i="12"/>
  <c r="C297" i="12"/>
  <c r="C298" i="12"/>
  <c r="C299" i="12"/>
  <c r="C300" i="12"/>
  <c r="C301" i="12"/>
  <c r="C302" i="12"/>
  <c r="C303" i="12"/>
  <c r="C304" i="12"/>
  <c r="C305" i="12"/>
  <c r="C306" i="12"/>
  <c r="C307" i="12"/>
  <c r="C308" i="12"/>
  <c r="C309" i="12"/>
  <c r="C310" i="12"/>
  <c r="C311" i="12"/>
  <c r="C312" i="12"/>
  <c r="C313" i="12"/>
  <c r="C314" i="12"/>
  <c r="C315" i="12"/>
  <c r="C316" i="12"/>
  <c r="C317" i="12"/>
  <c r="C318" i="12"/>
  <c r="C319" i="12"/>
  <c r="C320" i="12"/>
  <c r="C321" i="12"/>
  <c r="C322" i="12"/>
  <c r="C323" i="12"/>
  <c r="C324" i="12"/>
  <c r="C325" i="12"/>
  <c r="C326" i="12"/>
  <c r="C327" i="12"/>
  <c r="C328" i="12"/>
  <c r="C329" i="12"/>
  <c r="C330" i="12"/>
  <c r="C331" i="12"/>
  <c r="C332" i="12"/>
  <c r="C333" i="12"/>
  <c r="C334" i="12"/>
  <c r="C335" i="12"/>
  <c r="C336" i="12"/>
  <c r="C337" i="12"/>
  <c r="C338" i="12"/>
  <c r="C339" i="12"/>
  <c r="C340" i="12"/>
  <c r="C341" i="12"/>
  <c r="C342" i="12"/>
  <c r="C343" i="12"/>
  <c r="C344" i="12"/>
  <c r="C345" i="12"/>
  <c r="C346" i="12"/>
  <c r="C347" i="12"/>
  <c r="C348" i="12"/>
  <c r="C349" i="12"/>
  <c r="C350" i="12"/>
  <c r="C351" i="12"/>
  <c r="C352" i="12"/>
  <c r="C353" i="12"/>
  <c r="C354" i="12"/>
  <c r="C355" i="12"/>
  <c r="C356" i="12"/>
  <c r="C357" i="12"/>
  <c r="C358" i="12"/>
  <c r="C359" i="12"/>
  <c r="C360" i="12"/>
  <c r="C361" i="12"/>
  <c r="C362" i="12"/>
  <c r="C363" i="12"/>
  <c r="C364" i="12"/>
  <c r="C365" i="12"/>
  <c r="C366" i="12"/>
  <c r="C367" i="12"/>
  <c r="C368" i="12"/>
  <c r="C369" i="12"/>
  <c r="C370" i="12"/>
  <c r="C371" i="12"/>
  <c r="C372" i="12"/>
  <c r="C373" i="12"/>
  <c r="C374" i="12"/>
  <c r="C375" i="12"/>
  <c r="C376" i="12"/>
  <c r="C377" i="12"/>
  <c r="C378" i="12"/>
  <c r="C379" i="12"/>
  <c r="C380" i="12"/>
  <c r="C381" i="12"/>
  <c r="C382" i="12"/>
  <c r="C383" i="12"/>
  <c r="C384" i="12"/>
  <c r="C385" i="12"/>
  <c r="C386" i="12"/>
  <c r="C387" i="12"/>
  <c r="C388" i="12"/>
  <c r="C389" i="12"/>
  <c r="C390" i="12"/>
  <c r="C391" i="12"/>
  <c r="C392" i="12"/>
  <c r="C393" i="12"/>
  <c r="C394" i="12"/>
  <c r="C395" i="12"/>
  <c r="C396" i="12"/>
  <c r="C397" i="12"/>
  <c r="C398" i="12"/>
  <c r="C399" i="12"/>
  <c r="C400" i="12"/>
  <c r="C4" i="12"/>
  <c r="B23" i="3" s="1"/>
  <c r="B7" i="6"/>
  <c r="B6" i="6"/>
  <c r="E112" i="11"/>
  <c r="D111" i="12" s="1"/>
  <c r="C112" i="11"/>
  <c r="E111" i="11"/>
  <c r="D110" i="12" s="1"/>
  <c r="C111" i="11"/>
  <c r="E110" i="11"/>
  <c r="D109" i="12" s="1"/>
  <c r="C110" i="11"/>
  <c r="E109" i="11"/>
  <c r="D216" i="12" s="1"/>
  <c r="C109" i="11"/>
  <c r="E108" i="11"/>
  <c r="D215" i="12" s="1"/>
  <c r="C108" i="11"/>
  <c r="E107" i="11"/>
  <c r="D214" i="12" s="1"/>
  <c r="C107" i="11"/>
  <c r="E106" i="11"/>
  <c r="D213" i="12" s="1"/>
  <c r="C106" i="11"/>
  <c r="E105" i="11"/>
  <c r="D104" i="12" s="1"/>
  <c r="C105" i="11"/>
  <c r="E104" i="11"/>
  <c r="D103" i="12" s="1"/>
  <c r="C104" i="11"/>
  <c r="E103" i="11"/>
  <c r="D102" i="12" s="1"/>
  <c r="C103" i="11"/>
  <c r="E102" i="11"/>
  <c r="D101" i="12" s="1"/>
  <c r="C102" i="11"/>
  <c r="E101" i="11"/>
  <c r="D208" i="12" s="1"/>
  <c r="C101" i="11"/>
  <c r="E100" i="11"/>
  <c r="D207" i="12" s="1"/>
  <c r="C100" i="11"/>
  <c r="E99" i="11"/>
  <c r="D206" i="12" s="1"/>
  <c r="C99" i="11"/>
  <c r="E98" i="11"/>
  <c r="D205" i="12" s="1"/>
  <c r="C98" i="11"/>
  <c r="E97" i="11"/>
  <c r="D96" i="12" s="1"/>
  <c r="C97" i="11"/>
  <c r="E96" i="11"/>
  <c r="D95" i="12" s="1"/>
  <c r="C96" i="11"/>
  <c r="E95" i="11"/>
  <c r="D94" i="12" s="1"/>
  <c r="C95" i="11"/>
  <c r="E94" i="11"/>
  <c r="D93" i="12" s="1"/>
  <c r="C94" i="11"/>
  <c r="E93" i="11"/>
  <c r="D200" i="12" s="1"/>
  <c r="C93" i="11"/>
  <c r="E92" i="11"/>
  <c r="D199" i="12" s="1"/>
  <c r="C92" i="11"/>
  <c r="E91" i="11"/>
  <c r="D198" i="12" s="1"/>
  <c r="C91" i="11"/>
  <c r="E90" i="11"/>
  <c r="D197" i="12" s="1"/>
  <c r="C90" i="11"/>
  <c r="E89" i="11"/>
  <c r="D88" i="12" s="1"/>
  <c r="C89" i="11"/>
  <c r="E88" i="11"/>
  <c r="D87" i="12" s="1"/>
  <c r="C88" i="11"/>
  <c r="E87" i="11"/>
  <c r="D86" i="12" s="1"/>
  <c r="C87" i="11"/>
  <c r="E86" i="11"/>
  <c r="D85" i="12" s="1"/>
  <c r="C86" i="11"/>
  <c r="E85" i="11"/>
  <c r="D192" i="12" s="1"/>
  <c r="C85" i="11"/>
  <c r="E84" i="11"/>
  <c r="D191" i="12" s="1"/>
  <c r="C84" i="11"/>
  <c r="E83" i="11"/>
  <c r="D190" i="12" s="1"/>
  <c r="C83" i="11"/>
  <c r="E82" i="11"/>
  <c r="D189" i="12" s="1"/>
  <c r="C82" i="11"/>
  <c r="E81" i="11"/>
  <c r="D80" i="12" s="1"/>
  <c r="C81" i="11"/>
  <c r="E80" i="11"/>
  <c r="D79" i="12" s="1"/>
  <c r="C80" i="11"/>
  <c r="E79" i="11"/>
  <c r="D78" i="12" s="1"/>
  <c r="C79" i="11"/>
  <c r="E78" i="11"/>
  <c r="D77" i="12" s="1"/>
  <c r="C78" i="11"/>
  <c r="E77" i="11"/>
  <c r="D184" i="12" s="1"/>
  <c r="C77" i="11"/>
  <c r="E76" i="11"/>
  <c r="D183" i="12" s="1"/>
  <c r="C76" i="11"/>
  <c r="E75" i="11"/>
  <c r="D182" i="12" s="1"/>
  <c r="C75" i="11"/>
  <c r="E74" i="11"/>
  <c r="D181" i="12" s="1"/>
  <c r="C74" i="11"/>
  <c r="E73" i="11"/>
  <c r="D72" i="12" s="1"/>
  <c r="C73" i="11"/>
  <c r="E72" i="11"/>
  <c r="D71" i="12" s="1"/>
  <c r="C72" i="11"/>
  <c r="E71" i="11"/>
  <c r="D70" i="12" s="1"/>
  <c r="C71" i="11"/>
  <c r="E70" i="11"/>
  <c r="D69" i="12" s="1"/>
  <c r="C70" i="11"/>
  <c r="E69" i="11"/>
  <c r="D176" i="12" s="1"/>
  <c r="C69" i="11"/>
  <c r="E68" i="11"/>
  <c r="D175" i="12" s="1"/>
  <c r="C68" i="11"/>
  <c r="E67" i="11"/>
  <c r="D174" i="12" s="1"/>
  <c r="C67" i="11"/>
  <c r="E66" i="11"/>
  <c r="D173" i="12" s="1"/>
  <c r="C66" i="11"/>
  <c r="E65" i="11"/>
  <c r="D64" i="12" s="1"/>
  <c r="C65" i="11"/>
  <c r="E64" i="11"/>
  <c r="D63" i="12" s="1"/>
  <c r="C64" i="11"/>
  <c r="E63" i="11"/>
  <c r="D62" i="12" s="1"/>
  <c r="C63" i="11"/>
  <c r="E62" i="11"/>
  <c r="D61" i="12" s="1"/>
  <c r="C62" i="11"/>
  <c r="E61" i="11"/>
  <c r="D168" i="12" s="1"/>
  <c r="C61" i="11"/>
  <c r="E60" i="11"/>
  <c r="D167" i="12" s="1"/>
  <c r="C60" i="11"/>
  <c r="E59" i="11"/>
  <c r="D166" i="12" s="1"/>
  <c r="C59" i="11"/>
  <c r="C20" i="11"/>
  <c r="E20" i="11"/>
  <c r="D127" i="12" s="1"/>
  <c r="C21" i="11"/>
  <c r="E21" i="11"/>
  <c r="D128" i="12" s="1"/>
  <c r="C22" i="11"/>
  <c r="E22" i="11"/>
  <c r="D21" i="12" s="1"/>
  <c r="C23" i="11"/>
  <c r="E23" i="11"/>
  <c r="D22" i="12" s="1"/>
  <c r="C24" i="11"/>
  <c r="E24" i="11"/>
  <c r="D23" i="12" s="1"/>
  <c r="C25" i="11"/>
  <c r="E25" i="11"/>
  <c r="D24" i="12" s="1"/>
  <c r="C26" i="11"/>
  <c r="E26" i="11"/>
  <c r="D133" i="12" s="1"/>
  <c r="C27" i="11"/>
  <c r="E27" i="11"/>
  <c r="D134" i="12" s="1"/>
  <c r="C28" i="11"/>
  <c r="E28" i="11"/>
  <c r="D135" i="12" s="1"/>
  <c r="C29" i="11"/>
  <c r="E29" i="11"/>
  <c r="D136" i="12" s="1"/>
  <c r="C30" i="11"/>
  <c r="E30" i="11"/>
  <c r="D29" i="12" s="1"/>
  <c r="C31" i="11"/>
  <c r="E31" i="11"/>
  <c r="D30" i="12" s="1"/>
  <c r="C32" i="11"/>
  <c r="E32" i="11"/>
  <c r="D31" i="12" s="1"/>
  <c r="C33" i="11"/>
  <c r="E33" i="11"/>
  <c r="D32" i="12" s="1"/>
  <c r="C34" i="11"/>
  <c r="E34" i="11"/>
  <c r="D141" i="12" s="1"/>
  <c r="C35" i="11"/>
  <c r="E35" i="11"/>
  <c r="D142" i="12" s="1"/>
  <c r="C36" i="11"/>
  <c r="E36" i="11"/>
  <c r="D143" i="12" s="1"/>
  <c r="C37" i="11"/>
  <c r="E37" i="11"/>
  <c r="D144" i="12" s="1"/>
  <c r="C38" i="11"/>
  <c r="E38" i="11"/>
  <c r="D37" i="12" s="1"/>
  <c r="C39" i="11"/>
  <c r="E39" i="11"/>
  <c r="D38" i="12" s="1"/>
  <c r="C40" i="11"/>
  <c r="E40" i="11"/>
  <c r="D39" i="12" s="1"/>
  <c r="C41" i="11"/>
  <c r="E41" i="11"/>
  <c r="D40" i="12" s="1"/>
  <c r="C42" i="11"/>
  <c r="E42" i="11"/>
  <c r="D149" i="12" s="1"/>
  <c r="C43" i="11"/>
  <c r="E43" i="11"/>
  <c r="D150" i="12" s="1"/>
  <c r="C44" i="11"/>
  <c r="E44" i="11"/>
  <c r="D151" i="12" s="1"/>
  <c r="C45" i="11"/>
  <c r="E45" i="11"/>
  <c r="D152" i="12" s="1"/>
  <c r="C46" i="11"/>
  <c r="E46" i="11"/>
  <c r="D45" i="12" s="1"/>
  <c r="C47" i="11"/>
  <c r="E47" i="11"/>
  <c r="D46" i="12" s="1"/>
  <c r="C48" i="11"/>
  <c r="E48" i="11"/>
  <c r="D382" i="12" s="1"/>
  <c r="C49" i="11"/>
  <c r="E49" i="11"/>
  <c r="D383" i="12" s="1"/>
  <c r="C50" i="11"/>
  <c r="E50" i="11"/>
  <c r="D157" i="12" s="1"/>
  <c r="C51" i="11"/>
  <c r="E51" i="11"/>
  <c r="D381" i="12" s="1"/>
  <c r="C52" i="11"/>
  <c r="E52" i="11"/>
  <c r="D159" i="12" s="1"/>
  <c r="C53" i="11"/>
  <c r="E53" i="11"/>
  <c r="D160" i="12" s="1"/>
  <c r="C54" i="11"/>
  <c r="E54" i="11"/>
  <c r="D53" i="12" s="1"/>
  <c r="C55" i="11"/>
  <c r="E55" i="11"/>
  <c r="D389" i="12" s="1"/>
  <c r="C56" i="11"/>
  <c r="E56" i="11"/>
  <c r="D390" i="12" s="1"/>
  <c r="C57" i="11"/>
  <c r="E57" i="11"/>
  <c r="D397" i="12" s="1"/>
  <c r="C58" i="11"/>
  <c r="E58" i="11"/>
  <c r="D165" i="12" s="1"/>
  <c r="E6" i="11"/>
  <c r="D5" i="12" s="1"/>
  <c r="C24" i="3" s="1"/>
  <c r="E7" i="11"/>
  <c r="D6" i="12" s="1"/>
  <c r="C25" i="3" s="1"/>
  <c r="E8" i="11"/>
  <c r="D7" i="12" s="1"/>
  <c r="C26" i="3" s="1"/>
  <c r="E9" i="11"/>
  <c r="D8" i="12" s="1"/>
  <c r="E10" i="11"/>
  <c r="D117" i="12" s="1"/>
  <c r="E11" i="11"/>
  <c r="D118" i="12" s="1"/>
  <c r="E12" i="11"/>
  <c r="D119" i="12" s="1"/>
  <c r="E13" i="11"/>
  <c r="D120" i="12" s="1"/>
  <c r="E14" i="11"/>
  <c r="D13" i="12" s="1"/>
  <c r="E15" i="11"/>
  <c r="D14" i="12" s="1"/>
  <c r="E16" i="11"/>
  <c r="D15" i="12" s="1"/>
  <c r="E17" i="11"/>
  <c r="D16" i="12" s="1"/>
  <c r="E18" i="11"/>
  <c r="D125" i="12" s="1"/>
  <c r="E19" i="11"/>
  <c r="D126" i="12" s="1"/>
  <c r="E5" i="11"/>
  <c r="D112" i="12" s="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5" i="11"/>
  <c r="D13" i="1"/>
  <c r="D12" i="1"/>
  <c r="D393" i="12" l="1"/>
  <c r="D329" i="12"/>
  <c r="D265" i="12"/>
  <c r="D137" i="12"/>
  <c r="D385" i="12"/>
  <c r="D321" i="12"/>
  <c r="D257" i="12"/>
  <c r="D193" i="12"/>
  <c r="D129" i="12"/>
  <c r="D65" i="12"/>
  <c r="D377" i="12"/>
  <c r="D313" i="12"/>
  <c r="D249" i="12"/>
  <c r="D185" i="12"/>
  <c r="D121" i="12"/>
  <c r="D57" i="12"/>
  <c r="D369" i="12"/>
  <c r="D305" i="12"/>
  <c r="D241" i="12"/>
  <c r="D177" i="12"/>
  <c r="D113" i="12"/>
  <c r="D49" i="12"/>
  <c r="D73" i="12"/>
  <c r="D361" i="12"/>
  <c r="D297" i="12"/>
  <c r="D233" i="12"/>
  <c r="D169" i="12"/>
  <c r="D105" i="12"/>
  <c r="D41" i="12"/>
  <c r="D201" i="12"/>
  <c r="D353" i="12"/>
  <c r="D289" i="12"/>
  <c r="D225" i="12"/>
  <c r="D161" i="12"/>
  <c r="D97" i="12"/>
  <c r="D33" i="12"/>
  <c r="D345" i="12"/>
  <c r="D281" i="12"/>
  <c r="D217" i="12"/>
  <c r="D153" i="12"/>
  <c r="D89" i="12"/>
  <c r="D25" i="12"/>
  <c r="D4" i="12"/>
  <c r="C23" i="3" s="1"/>
  <c r="D337" i="12"/>
  <c r="D273" i="12"/>
  <c r="D209" i="12"/>
  <c r="D145" i="12"/>
  <c r="D81" i="12"/>
  <c r="D17" i="12"/>
  <c r="D396" i="12"/>
  <c r="D388" i="12"/>
  <c r="D380" i="12"/>
  <c r="D372" i="12"/>
  <c r="D364" i="12"/>
  <c r="D356" i="12"/>
  <c r="D348" i="12"/>
  <c r="D340" i="12"/>
  <c r="D332" i="12"/>
  <c r="D324" i="12"/>
  <c r="D316" i="12"/>
  <c r="D308" i="12"/>
  <c r="D300" i="12"/>
  <c r="D292" i="12"/>
  <c r="D284" i="12"/>
  <c r="D276" i="12"/>
  <c r="D268" i="12"/>
  <c r="D260" i="12"/>
  <c r="D252" i="12"/>
  <c r="D244" i="12"/>
  <c r="D236" i="12"/>
  <c r="D228" i="12"/>
  <c r="D220" i="12"/>
  <c r="D212" i="12"/>
  <c r="D204" i="12"/>
  <c r="D196" i="12"/>
  <c r="D188" i="12"/>
  <c r="D180" i="12"/>
  <c r="D172" i="12"/>
  <c r="D164" i="12"/>
  <c r="D156" i="12"/>
  <c r="D148" i="12"/>
  <c r="D140" i="12"/>
  <c r="D132" i="12"/>
  <c r="D124" i="12"/>
  <c r="D116" i="12"/>
  <c r="D108" i="12"/>
  <c r="D100" i="12"/>
  <c r="D92" i="12"/>
  <c r="D84" i="12"/>
  <c r="D76" i="12"/>
  <c r="D68" i="12"/>
  <c r="D60" i="12"/>
  <c r="D52" i="12"/>
  <c r="D44" i="12"/>
  <c r="D36" i="12"/>
  <c r="D28" i="12"/>
  <c r="D20" i="12"/>
  <c r="D12" i="12"/>
  <c r="D395" i="12"/>
  <c r="D387" i="12"/>
  <c r="D379" i="12"/>
  <c r="D371" i="12"/>
  <c r="D363" i="12"/>
  <c r="D355" i="12"/>
  <c r="D347" i="12"/>
  <c r="D339" i="12"/>
  <c r="D331" i="12"/>
  <c r="D323" i="12"/>
  <c r="D315" i="12"/>
  <c r="D307" i="12"/>
  <c r="D299" i="12"/>
  <c r="D291" i="12"/>
  <c r="D283" i="12"/>
  <c r="D275" i="12"/>
  <c r="D267" i="12"/>
  <c r="D259" i="12"/>
  <c r="D251" i="12"/>
  <c r="D243" i="12"/>
  <c r="D235" i="12"/>
  <c r="D227" i="12"/>
  <c r="D219" i="12"/>
  <c r="D211" i="12"/>
  <c r="D203" i="12"/>
  <c r="D195" i="12"/>
  <c r="D187" i="12"/>
  <c r="D179" i="12"/>
  <c r="D171" i="12"/>
  <c r="D163" i="12"/>
  <c r="D155" i="12"/>
  <c r="D147" i="12"/>
  <c r="D139" i="12"/>
  <c r="D131" i="12"/>
  <c r="D123" i="12"/>
  <c r="D115" i="12"/>
  <c r="D107" i="12"/>
  <c r="D99" i="12"/>
  <c r="D91" i="12"/>
  <c r="D83" i="12"/>
  <c r="D75" i="12"/>
  <c r="D67" i="12"/>
  <c r="D59" i="12"/>
  <c r="D51" i="12"/>
  <c r="D43" i="12"/>
  <c r="D35" i="12"/>
  <c r="D27" i="12"/>
  <c r="D19" i="12"/>
  <c r="D11" i="12"/>
  <c r="D394" i="12"/>
  <c r="D386" i="12"/>
  <c r="D378" i="12"/>
  <c r="D370" i="12"/>
  <c r="D362" i="12"/>
  <c r="D354" i="12"/>
  <c r="D346" i="12"/>
  <c r="D338" i="12"/>
  <c r="D330" i="12"/>
  <c r="D322" i="12"/>
  <c r="D314" i="12"/>
  <c r="D306" i="12"/>
  <c r="D298" i="12"/>
  <c r="D290" i="12"/>
  <c r="D282" i="12"/>
  <c r="D274" i="12"/>
  <c r="D266" i="12"/>
  <c r="D258" i="12"/>
  <c r="D250" i="12"/>
  <c r="D242" i="12"/>
  <c r="D234" i="12"/>
  <c r="D226" i="12"/>
  <c r="D218" i="12"/>
  <c r="D210" i="12"/>
  <c r="D202" i="12"/>
  <c r="D194" i="12"/>
  <c r="D186" i="12"/>
  <c r="D178" i="12"/>
  <c r="D170" i="12"/>
  <c r="D162" i="12"/>
  <c r="D154" i="12"/>
  <c r="D146" i="12"/>
  <c r="D138" i="12"/>
  <c r="D130" i="12"/>
  <c r="D122" i="12"/>
  <c r="D114" i="12"/>
  <c r="D106" i="12"/>
  <c r="D98" i="12"/>
  <c r="D90" i="12"/>
  <c r="D82" i="12"/>
  <c r="D74" i="12"/>
  <c r="D66" i="12"/>
  <c r="D58" i="12"/>
  <c r="D50" i="12"/>
  <c r="D42" i="12"/>
  <c r="D34" i="12"/>
  <c r="D26" i="12"/>
  <c r="D18" i="12"/>
  <c r="D10" i="12"/>
  <c r="D9" i="12"/>
  <c r="D400" i="12"/>
  <c r="D392" i="12"/>
  <c r="D384" i="12"/>
  <c r="D376" i="12"/>
  <c r="D368" i="12"/>
  <c r="D360" i="12"/>
  <c r="D352" i="12"/>
  <c r="D344" i="12"/>
  <c r="D336" i="12"/>
  <c r="D328" i="12"/>
  <c r="D320" i="12"/>
  <c r="D312" i="12"/>
  <c r="D304" i="12"/>
  <c r="D296" i="12"/>
  <c r="D288" i="12"/>
  <c r="D280" i="12"/>
  <c r="D272" i="12"/>
  <c r="D264" i="12"/>
  <c r="D256" i="12"/>
  <c r="D248" i="12"/>
  <c r="D240" i="12"/>
  <c r="D232" i="12"/>
  <c r="D224" i="12"/>
  <c r="D56" i="12"/>
  <c r="D48" i="12"/>
  <c r="D399" i="12"/>
  <c r="D391" i="12"/>
  <c r="D375" i="12"/>
  <c r="D367" i="12"/>
  <c r="D359" i="12"/>
  <c r="D351" i="12"/>
  <c r="D343" i="12"/>
  <c r="D335" i="12"/>
  <c r="D327" i="12"/>
  <c r="D319" i="12"/>
  <c r="D311" i="12"/>
  <c r="D303" i="12"/>
  <c r="D295" i="12"/>
  <c r="D287" i="12"/>
  <c r="D279" i="12"/>
  <c r="D271" i="12"/>
  <c r="D263" i="12"/>
  <c r="D255" i="12"/>
  <c r="D247" i="12"/>
  <c r="D239" i="12"/>
  <c r="D231" i="12"/>
  <c r="D223" i="12"/>
  <c r="D55" i="12"/>
  <c r="D47" i="12"/>
  <c r="D398" i="12"/>
  <c r="D374" i="12"/>
  <c r="D366" i="12"/>
  <c r="D358" i="12"/>
  <c r="D350" i="12"/>
  <c r="D342" i="12"/>
  <c r="D334" i="12"/>
  <c r="D326" i="12"/>
  <c r="D318" i="12"/>
  <c r="D310" i="12"/>
  <c r="D302" i="12"/>
  <c r="D294" i="12"/>
  <c r="D286" i="12"/>
  <c r="D278" i="12"/>
  <c r="D270" i="12"/>
  <c r="D262" i="12"/>
  <c r="D254" i="12"/>
  <c r="D246" i="12"/>
  <c r="D238" i="12"/>
  <c r="D230" i="12"/>
  <c r="D222" i="12"/>
  <c r="D158" i="12"/>
  <c r="D54" i="12"/>
  <c r="D373" i="12"/>
  <c r="D365" i="12"/>
  <c r="D357" i="12"/>
  <c r="D349" i="12"/>
  <c r="D341" i="12"/>
  <c r="D333" i="12"/>
  <c r="D325" i="12"/>
  <c r="D317" i="12"/>
  <c r="D309" i="12"/>
  <c r="D301" i="12"/>
  <c r="D293" i="12"/>
  <c r="D285" i="12"/>
  <c r="D277" i="12"/>
  <c r="D269" i="12"/>
  <c r="D261" i="12"/>
  <c r="D253" i="12"/>
  <c r="D245" i="12"/>
  <c r="D237" i="12"/>
  <c r="D229" i="12"/>
  <c r="D221" i="12"/>
</calcChain>
</file>

<file path=xl/sharedStrings.xml><?xml version="1.0" encoding="utf-8"?>
<sst xmlns="http://schemas.openxmlformats.org/spreadsheetml/2006/main" count="3368" uniqueCount="167">
  <si>
    <t>AnoBase</t>
  </si>
  <si>
    <t>MesBase</t>
  </si>
  <si>
    <t>Lista de Professores</t>
  </si>
  <si>
    <t>Matricula</t>
  </si>
  <si>
    <t>Regime Juridico</t>
  </si>
  <si>
    <t>CLT</t>
  </si>
  <si>
    <t>Carga Horária</t>
  </si>
  <si>
    <t>Hora Atividade</t>
  </si>
  <si>
    <t>HAE-O</t>
  </si>
  <si>
    <t>HAE-C</t>
  </si>
  <si>
    <t>Manha</t>
  </si>
  <si>
    <t>Segunda</t>
  </si>
  <si>
    <t>Quarta</t>
  </si>
  <si>
    <t>Sexta</t>
  </si>
  <si>
    <t>Tarde</t>
  </si>
  <si>
    <t>Noite</t>
  </si>
  <si>
    <t>Esta é a observação 1-manha</t>
  </si>
  <si>
    <t>Esta é a observação - tarde</t>
  </si>
  <si>
    <t>Obs-Manha</t>
  </si>
  <si>
    <t>Obs-Tarde</t>
  </si>
  <si>
    <t>Obs-Noite</t>
  </si>
  <si>
    <t>Esta é a observação - Noite</t>
  </si>
  <si>
    <t>Qui</t>
  </si>
  <si>
    <t>Sex</t>
  </si>
  <si>
    <t>Sáb</t>
  </si>
  <si>
    <t>Dom</t>
  </si>
  <si>
    <t>Seg</t>
  </si>
  <si>
    <t>Ter</t>
  </si>
  <si>
    <t>Qua</t>
  </si>
  <si>
    <t>Nao</t>
  </si>
  <si>
    <t>Professor2</t>
  </si>
  <si>
    <t>Nome do Professor</t>
  </si>
  <si>
    <t>Matrícula</t>
  </si>
  <si>
    <t>Sequencia</t>
  </si>
  <si>
    <t>Nome da Aba</t>
  </si>
  <si>
    <t>yyyy</t>
  </si>
  <si>
    <t>ttttttt</t>
  </si>
  <si>
    <t>Categoria</t>
  </si>
  <si>
    <t>Carlos Henrique Veríssimo Pereira</t>
  </si>
  <si>
    <t>NomeProf</t>
  </si>
  <si>
    <t xml:space="preserve"> </t>
  </si>
  <si>
    <t xml:space="preserve">  </t>
  </si>
  <si>
    <t>Prof1-1234567</t>
  </si>
  <si>
    <t>X</t>
  </si>
  <si>
    <t>Dia do Mês</t>
  </si>
  <si>
    <t>Tabela de feriado do Mês</t>
  </si>
  <si>
    <t>Descricao do Feriado</t>
  </si>
  <si>
    <t>7 de setembro</t>
  </si>
  <si>
    <t>Emenda de feriado</t>
  </si>
  <si>
    <t xml:space="preserve">suspensao de aula </t>
  </si>
  <si>
    <t>Inicio</t>
  </si>
  <si>
    <t>Fim</t>
  </si>
  <si>
    <t>codigoUnidade</t>
  </si>
  <si>
    <t>nomeFatecUnidade</t>
  </si>
  <si>
    <t>fatecDenominacaoOficial</t>
  </si>
  <si>
    <t>nomeDiretor</t>
  </si>
  <si>
    <t>Ipiranga</t>
  </si>
  <si>
    <t>Pastor Enéas Togini</t>
  </si>
  <si>
    <t>Fabiana</t>
  </si>
  <si>
    <t>Emite Grade</t>
  </si>
  <si>
    <t xml:space="preserve">Matricula Responsavel </t>
  </si>
  <si>
    <t>id do curso</t>
  </si>
  <si>
    <t>Nome do curso</t>
  </si>
  <si>
    <t>Coordenador</t>
  </si>
  <si>
    <t>curso 3</t>
  </si>
  <si>
    <t>curso 4</t>
  </si>
  <si>
    <t>curso 5</t>
  </si>
  <si>
    <t>curso 6</t>
  </si>
  <si>
    <t>coordenador 1</t>
  </si>
  <si>
    <t>coordenador 2</t>
  </si>
  <si>
    <t>coordenador 3</t>
  </si>
  <si>
    <t>coordenador 4</t>
  </si>
  <si>
    <t>coordenador 5</t>
  </si>
  <si>
    <t>coordenador 6</t>
  </si>
  <si>
    <t>curso 7</t>
  </si>
  <si>
    <t>coordenador 7</t>
  </si>
  <si>
    <t>curso 8</t>
  </si>
  <si>
    <t>coordenador 8</t>
  </si>
  <si>
    <t>curso 9</t>
  </si>
  <si>
    <t>coordenador 9</t>
  </si>
  <si>
    <t>curso 10</t>
  </si>
  <si>
    <t>coordenador 10</t>
  </si>
  <si>
    <t>curso 11</t>
  </si>
  <si>
    <t>coordenador 11</t>
  </si>
  <si>
    <t>curso 12</t>
  </si>
  <si>
    <t>coordenador 12</t>
  </si>
  <si>
    <t>curso 13</t>
  </si>
  <si>
    <t>coordenador 13</t>
  </si>
  <si>
    <t>curso 14</t>
  </si>
  <si>
    <t>coordenador 14</t>
  </si>
  <si>
    <t>curso 15</t>
  </si>
  <si>
    <t>coordenador 15</t>
  </si>
  <si>
    <t>ID</t>
  </si>
  <si>
    <t>Nome da disciplina</t>
  </si>
  <si>
    <t>Carga Horaria</t>
  </si>
  <si>
    <t>Disciplina 4</t>
  </si>
  <si>
    <t>Disciplina 5</t>
  </si>
  <si>
    <t>Disciplina 6</t>
  </si>
  <si>
    <t>Disciplina 7</t>
  </si>
  <si>
    <t>Disciplina 8</t>
  </si>
  <si>
    <t>Disciplina 9</t>
  </si>
  <si>
    <t>Disciplina 10</t>
  </si>
  <si>
    <t>Disciplina 11</t>
  </si>
  <si>
    <t>Disciplina 12</t>
  </si>
  <si>
    <t>Disciplina 13</t>
  </si>
  <si>
    <t>Disciplina 14</t>
  </si>
  <si>
    <t>Disciplina 15</t>
  </si>
  <si>
    <t>Disciplina 16</t>
  </si>
  <si>
    <t>Disciplina 17</t>
  </si>
  <si>
    <t>Disciplina 18</t>
  </si>
  <si>
    <t>Disciplina 19</t>
  </si>
  <si>
    <t>Disciplina 20</t>
  </si>
  <si>
    <t>Disciplina 21</t>
  </si>
  <si>
    <t>Disciplina 22</t>
  </si>
  <si>
    <t>Disciplina 23</t>
  </si>
  <si>
    <t>Disciplina 24</t>
  </si>
  <si>
    <t>Disciplina 25</t>
  </si>
  <si>
    <t>Disciplina 26</t>
  </si>
  <si>
    <t>Disciplina 27</t>
  </si>
  <si>
    <t>Disciplina 28</t>
  </si>
  <si>
    <t>Disciplina 29</t>
  </si>
  <si>
    <t>Disciplina 30</t>
  </si>
  <si>
    <t>Disciplina 31</t>
  </si>
  <si>
    <t>Disciplina 32</t>
  </si>
  <si>
    <t>Disciplina 33</t>
  </si>
  <si>
    <t>Disciplina 34</t>
  </si>
  <si>
    <t>Disciplina 35</t>
  </si>
  <si>
    <t>Disciplina 36</t>
  </si>
  <si>
    <t>Disciplina 37</t>
  </si>
  <si>
    <t>Disciplina 38</t>
  </si>
  <si>
    <t>Disciplina 39</t>
  </si>
  <si>
    <t>Disciplina 40</t>
  </si>
  <si>
    <t>Disciplina 41</t>
  </si>
  <si>
    <t>Disciplina 42</t>
  </si>
  <si>
    <t>Disciplina 43</t>
  </si>
  <si>
    <t>Disciplina 44</t>
  </si>
  <si>
    <t>Disciplina 45</t>
  </si>
  <si>
    <t>Disciplina 46</t>
  </si>
  <si>
    <t>Disciplina 47</t>
  </si>
  <si>
    <t>Disciplina 48</t>
  </si>
  <si>
    <t>Disciplina 49</t>
  </si>
  <si>
    <t>Disciplina 50</t>
  </si>
  <si>
    <t>Curso e suas disciplinas</t>
  </si>
  <si>
    <t>ID Disciplina</t>
  </si>
  <si>
    <t>Nome Disciplina</t>
  </si>
  <si>
    <t>Semestre</t>
  </si>
  <si>
    <t xml:space="preserve">ID CursoDiscplina </t>
  </si>
  <si>
    <t>Id CursoDiscplina</t>
  </si>
  <si>
    <t>Periodo</t>
  </si>
  <si>
    <t>Aula1</t>
  </si>
  <si>
    <t>Aula2</t>
  </si>
  <si>
    <t>Aula3</t>
  </si>
  <si>
    <t>Aula4</t>
  </si>
  <si>
    <t>Aula5</t>
  </si>
  <si>
    <t>Aula6</t>
  </si>
  <si>
    <t>Disicplina</t>
  </si>
  <si>
    <t>DiaSemana</t>
  </si>
  <si>
    <t>laboratóeio de engenharia de Software</t>
  </si>
  <si>
    <t>Estrutura de Dados</t>
  </si>
  <si>
    <t>PEM</t>
  </si>
  <si>
    <t>ADS</t>
  </si>
  <si>
    <t>BigData</t>
  </si>
  <si>
    <t>Grade</t>
  </si>
  <si>
    <t>ID DisciplinaGrade</t>
  </si>
  <si>
    <t>Disciplina</t>
  </si>
  <si>
    <t>Dia Semana</t>
  </si>
  <si>
    <t>Curso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</si>
</sst>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0" fillId="2" borderId="1" xfId="0" applyFill="1" applyBorder="1"/>
    <xf numFmtId="1" fontId="0" fillId="2" borderId="1" xfId="0" applyNumberForma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1" fontId="0" fillId="5" borderId="1" xfId="0" applyNumberForma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1" fontId="0" fillId="2" borderId="1" xfId="0" applyNumberForma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1" fontId="0" fillId="2" borderId="1" xfId="0" applyNumberFormat="1" applyFill="1" applyBorder="1"/>
    <xf numFmtId="0" fontId="3" fillId="2" borderId="0" xfId="0" applyFont="1" applyFill="1"/>
    <xf numFmtId="0" fontId="0" fillId="2" borderId="1" xfId="0" applyFill="1" applyBorder="1" applyAlignment="1">
      <alignment horizontal="center"/>
    </xf>
    <xf numFmtId="0" fontId="4" fillId="3" borderId="1" xfId="0" applyFont="1" applyFill="1" applyBorder="1"/>
    <xf numFmtId="1" fontId="0" fillId="0" borderId="0" xfId="0" applyNumberFormat="1"/>
    <xf numFmtId="0" fontId="0" fillId="2" borderId="2" xfId="0" applyFill="1" applyBorder="1"/>
    <xf numFmtId="1" fontId="0" fillId="3" borderId="1" xfId="0" applyNumberFormat="1" applyFill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3" xfId="0" applyFill="1" applyBorder="1"/>
    <xf numFmtId="0" fontId="0" fillId="0" borderId="1" xfId="0" applyFill="1" applyBorder="1"/>
    <xf numFmtId="0" fontId="0" fillId="0" borderId="0" xfId="0" applyAlignment="1">
      <alignment horizontal="center" vertical="center"/>
    </xf>
    <xf numFmtId="0" fontId="0" fillId="3" borderId="1" xfId="0" applyFill="1" applyBorder="1"/>
    <xf numFmtId="0" fontId="0" fillId="2" borderId="1" xfId="0" applyFill="1" applyBorder="1" applyAlignment="1">
      <alignment horizontal="left" vertical="center"/>
    </xf>
  </cellXfs>
  <cellStyles count="1">
    <cellStyle name="Normal" xfId="0" builtinId="0"/>
  </cellStyles>
  <dxfs count="1">
    <dxf>
      <font>
        <b/>
        <i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1</xdr:rowOff>
    </xdr:from>
    <xdr:to>
      <xdr:col>1</xdr:col>
      <xdr:colOff>781051</xdr:colOff>
      <xdr:row>4</xdr:row>
      <xdr:rowOff>19051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34E105A-F0C3-792E-7521-61DD5EE28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781050" cy="7810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1</xdr:col>
      <xdr:colOff>171451</xdr:colOff>
      <xdr:row>4</xdr:row>
      <xdr:rowOff>19051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68FC4EC-9BF2-4457-A0DA-C987EDC0D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781050" cy="7810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781050</xdr:colOff>
      <xdr:row>4</xdr:row>
      <xdr:rowOff>19051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0BB4E01-DBE6-4AB7-B065-B71BE62D7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781050" cy="781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0</xdr:col>
      <xdr:colOff>781050</xdr:colOff>
      <xdr:row>4</xdr:row>
      <xdr:rowOff>19051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70E62A2-CED3-4F9C-95E4-57E08F8C5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781050" cy="781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0</xdr:col>
      <xdr:colOff>781050</xdr:colOff>
      <xdr:row>4</xdr:row>
      <xdr:rowOff>19051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AF1A6B1-224F-4600-AC82-C4F4737F3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781050" cy="781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0</xdr:col>
      <xdr:colOff>781050</xdr:colOff>
      <xdr:row>4</xdr:row>
      <xdr:rowOff>19051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5F2ECE2-8286-4E4C-9E41-79914560F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781050" cy="781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0</xdr:col>
      <xdr:colOff>781050</xdr:colOff>
      <xdr:row>4</xdr:row>
      <xdr:rowOff>19051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1DBC392C-F810-4F94-A5DA-4CF6FC310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781050" cy="781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0</xdr:col>
      <xdr:colOff>781050</xdr:colOff>
      <xdr:row>4</xdr:row>
      <xdr:rowOff>19051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7DEDBB5E-E1C3-449D-A58A-E2CC06C53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781050" cy="7810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781051</xdr:colOff>
      <xdr:row>4</xdr:row>
      <xdr:rowOff>19051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F9CB4FD-26BA-4C98-B103-C8CBFF8FB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781050" cy="78105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0</xdr:row>
      <xdr:rowOff>1</xdr:rowOff>
    </xdr:from>
    <xdr:to>
      <xdr:col>0</xdr:col>
      <xdr:colOff>781051</xdr:colOff>
      <xdr:row>4</xdr:row>
      <xdr:rowOff>19051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A79877F-4220-401D-AF56-063E5EB4E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781050" cy="781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99E76-7F73-4384-8E23-F83149AB55DD}">
  <dimension ref="A3:D4"/>
  <sheetViews>
    <sheetView workbookViewId="0">
      <selection activeCell="E3" sqref="E3"/>
    </sheetView>
  </sheetViews>
  <sheetFormatPr defaultRowHeight="15" x14ac:dyDescent="0.25"/>
  <cols>
    <col min="1" max="1" width="14.42578125" bestFit="1" customWidth="1"/>
    <col min="2" max="2" width="18.5703125" bestFit="1" customWidth="1"/>
    <col min="3" max="3" width="23.7109375" bestFit="1" customWidth="1"/>
    <col min="4" max="4" width="12.42578125" bestFit="1" customWidth="1"/>
  </cols>
  <sheetData>
    <row r="3" spans="1:4" x14ac:dyDescent="0.25">
      <c r="A3" t="s">
        <v>52</v>
      </c>
      <c r="B3" t="s">
        <v>53</v>
      </c>
      <c r="C3" t="s">
        <v>54</v>
      </c>
      <c r="D3" t="s">
        <v>55</v>
      </c>
    </row>
    <row r="4" spans="1:4" x14ac:dyDescent="0.25">
      <c r="A4" s="18">
        <v>204</v>
      </c>
      <c r="B4" t="s">
        <v>56</v>
      </c>
      <c r="C4" t="s">
        <v>57</v>
      </c>
      <c r="D4" t="s">
        <v>58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E71"/>
  <sheetViews>
    <sheetView topLeftCell="A57" workbookViewId="0">
      <selection activeCell="B8" sqref="B8"/>
    </sheetView>
  </sheetViews>
  <sheetFormatPr defaultRowHeight="15" x14ac:dyDescent="0.25"/>
  <cols>
    <col min="1" max="1" width="10.140625" style="1" bestFit="1" customWidth="1"/>
    <col min="2" max="2" width="21.7109375" style="1" bestFit="1" customWidth="1"/>
    <col min="3" max="3" width="31.85546875" style="1" bestFit="1" customWidth="1"/>
    <col min="4" max="4" width="15.5703125" style="1" bestFit="1" customWidth="1"/>
    <col min="5" max="5" width="12.42578125" style="1" bestFit="1" customWidth="1"/>
    <col min="6" max="16384" width="9.140625" style="1"/>
  </cols>
  <sheetData>
    <row r="5" spans="1:5" x14ac:dyDescent="0.25">
      <c r="A5" s="2" t="s">
        <v>0</v>
      </c>
      <c r="B5" s="14">
        <v>2025</v>
      </c>
    </row>
    <row r="6" spans="1:5" x14ac:dyDescent="0.25">
      <c r="A6" s="2" t="s">
        <v>1</v>
      </c>
      <c r="B6" s="14">
        <v>9</v>
      </c>
    </row>
    <row r="7" spans="1:5" ht="15.75" thickBot="1" x14ac:dyDescent="0.3"/>
    <row r="8" spans="1:5" ht="15.75" thickBot="1" x14ac:dyDescent="0.3">
      <c r="B8" s="19" t="s">
        <v>60</v>
      </c>
      <c r="C8" s="20">
        <v>123456</v>
      </c>
    </row>
    <row r="9" spans="1:5" x14ac:dyDescent="0.25">
      <c r="B9" s="1" t="s">
        <v>2</v>
      </c>
    </row>
    <row r="11" spans="1:5" x14ac:dyDescent="0.25">
      <c r="A11" s="5" t="s">
        <v>33</v>
      </c>
      <c r="B11" s="5" t="s">
        <v>3</v>
      </c>
      <c r="C11" s="5" t="s">
        <v>39</v>
      </c>
      <c r="D11" s="5" t="s">
        <v>34</v>
      </c>
      <c r="E11" s="5" t="s">
        <v>59</v>
      </c>
    </row>
    <row r="12" spans="1:5" x14ac:dyDescent="0.25">
      <c r="A12" s="12">
        <v>1</v>
      </c>
      <c r="B12" s="3">
        <v>1234567</v>
      </c>
      <c r="C12" s="4" t="s">
        <v>38</v>
      </c>
      <c r="D12" s="4" t="str">
        <f>"Prof"&amp;A12&amp;"-"&amp;B12</f>
        <v>Prof1-1234567</v>
      </c>
      <c r="E12" s="4"/>
    </row>
    <row r="13" spans="1:5" x14ac:dyDescent="0.25">
      <c r="A13" s="13">
        <v>2</v>
      </c>
      <c r="B13" s="10">
        <v>1234568</v>
      </c>
      <c r="C13" s="11" t="s">
        <v>30</v>
      </c>
      <c r="D13" s="11" t="str">
        <f t="shared" ref="D13" si="0">"Prof"&amp;A13&amp;"-"&amp;B13</f>
        <v>Prof2-1234568</v>
      </c>
      <c r="E13" s="11"/>
    </row>
    <row r="14" spans="1:5" x14ac:dyDescent="0.25">
      <c r="A14" s="12"/>
      <c r="B14" s="3"/>
      <c r="C14" s="4"/>
      <c r="D14" s="4"/>
      <c r="E14" s="4"/>
    </row>
    <row r="15" spans="1:5" x14ac:dyDescent="0.25">
      <c r="A15" s="13"/>
      <c r="B15" s="10"/>
      <c r="C15" s="11"/>
      <c r="D15" s="11"/>
      <c r="E15" s="11"/>
    </row>
    <row r="16" spans="1:5" x14ac:dyDescent="0.25">
      <c r="A16" s="12"/>
      <c r="B16" s="3"/>
      <c r="C16" s="4"/>
      <c r="D16" s="4"/>
      <c r="E16" s="4"/>
    </row>
    <row r="17" spans="1:5" x14ac:dyDescent="0.25">
      <c r="A17" s="13"/>
      <c r="B17" s="10"/>
      <c r="C17" s="11"/>
      <c r="D17" s="11"/>
      <c r="E17" s="11"/>
    </row>
    <row r="18" spans="1:5" x14ac:dyDescent="0.25">
      <c r="A18" s="12"/>
      <c r="B18" s="3"/>
      <c r="C18" s="4"/>
      <c r="D18" s="4"/>
      <c r="E18" s="4"/>
    </row>
    <row r="19" spans="1:5" x14ac:dyDescent="0.25">
      <c r="A19" s="13"/>
      <c r="B19" s="10"/>
      <c r="C19" s="11"/>
      <c r="D19" s="11"/>
      <c r="E19" s="11"/>
    </row>
    <row r="20" spans="1:5" x14ac:dyDescent="0.25">
      <c r="A20" s="12"/>
      <c r="B20" s="3"/>
      <c r="C20" s="4"/>
      <c r="D20" s="4"/>
      <c r="E20" s="4"/>
    </row>
    <row r="21" spans="1:5" x14ac:dyDescent="0.25">
      <c r="A21" s="13"/>
      <c r="B21" s="10"/>
      <c r="C21" s="11"/>
      <c r="D21" s="11"/>
      <c r="E21" s="11"/>
    </row>
    <row r="22" spans="1:5" x14ac:dyDescent="0.25">
      <c r="A22" s="12"/>
      <c r="B22" s="3"/>
      <c r="C22" s="4"/>
      <c r="D22" s="4"/>
      <c r="E22" s="4"/>
    </row>
    <row r="23" spans="1:5" x14ac:dyDescent="0.25">
      <c r="A23" s="13"/>
      <c r="B23" s="10"/>
      <c r="C23" s="11"/>
      <c r="D23" s="11"/>
      <c r="E23" s="11"/>
    </row>
    <row r="24" spans="1:5" x14ac:dyDescent="0.25">
      <c r="A24" s="12"/>
      <c r="B24" s="3"/>
      <c r="C24" s="4"/>
      <c r="D24" s="4"/>
      <c r="E24" s="4"/>
    </row>
    <row r="25" spans="1:5" x14ac:dyDescent="0.25">
      <c r="A25" s="13"/>
      <c r="B25" s="10"/>
      <c r="C25" s="11"/>
      <c r="D25" s="11"/>
      <c r="E25" s="11"/>
    </row>
    <row r="26" spans="1:5" x14ac:dyDescent="0.25">
      <c r="A26" s="12"/>
      <c r="B26" s="3"/>
      <c r="C26" s="4"/>
      <c r="D26" s="4"/>
      <c r="E26" s="4"/>
    </row>
    <row r="27" spans="1:5" x14ac:dyDescent="0.25">
      <c r="A27" s="13"/>
      <c r="B27" s="10"/>
      <c r="C27" s="11"/>
      <c r="D27" s="11"/>
      <c r="E27" s="11"/>
    </row>
    <row r="28" spans="1:5" x14ac:dyDescent="0.25">
      <c r="A28" s="12"/>
      <c r="B28" s="3"/>
      <c r="C28" s="4"/>
      <c r="D28" s="4"/>
      <c r="E28" s="4"/>
    </row>
    <row r="29" spans="1:5" x14ac:dyDescent="0.25">
      <c r="A29" s="13"/>
      <c r="B29" s="10"/>
      <c r="C29" s="11"/>
      <c r="D29" s="11"/>
      <c r="E29" s="11"/>
    </row>
    <row r="30" spans="1:5" x14ac:dyDescent="0.25">
      <c r="A30" s="12"/>
      <c r="B30" s="3"/>
      <c r="C30" s="4"/>
      <c r="D30" s="4"/>
      <c r="E30" s="4"/>
    </row>
    <row r="31" spans="1:5" x14ac:dyDescent="0.25">
      <c r="A31" s="13"/>
      <c r="B31" s="10"/>
      <c r="C31" s="11"/>
      <c r="D31" s="11"/>
      <c r="E31" s="11"/>
    </row>
    <row r="32" spans="1:5" x14ac:dyDescent="0.25">
      <c r="A32" s="12"/>
      <c r="B32" s="3"/>
      <c r="C32" s="4"/>
      <c r="D32" s="4"/>
      <c r="E32" s="4"/>
    </row>
    <row r="33" spans="1:5" x14ac:dyDescent="0.25">
      <c r="A33" s="13"/>
      <c r="B33" s="10"/>
      <c r="C33" s="11"/>
      <c r="D33" s="11"/>
      <c r="E33" s="11"/>
    </row>
    <row r="34" spans="1:5" x14ac:dyDescent="0.25">
      <c r="A34" s="12"/>
      <c r="B34" s="3"/>
      <c r="C34" s="4"/>
      <c r="D34" s="4"/>
      <c r="E34" s="4"/>
    </row>
    <row r="35" spans="1:5" x14ac:dyDescent="0.25">
      <c r="A35" s="13"/>
      <c r="B35" s="10"/>
      <c r="C35" s="11"/>
      <c r="D35" s="11"/>
      <c r="E35" s="11"/>
    </row>
    <row r="36" spans="1:5" x14ac:dyDescent="0.25">
      <c r="A36" s="12"/>
      <c r="B36" s="3"/>
      <c r="C36" s="4"/>
      <c r="D36" s="4"/>
      <c r="E36" s="4"/>
    </row>
    <row r="37" spans="1:5" x14ac:dyDescent="0.25">
      <c r="A37" s="13"/>
      <c r="B37" s="10"/>
      <c r="C37" s="11"/>
      <c r="D37" s="11"/>
      <c r="E37" s="11"/>
    </row>
    <row r="38" spans="1:5" x14ac:dyDescent="0.25">
      <c r="A38" s="12"/>
      <c r="B38" s="3"/>
      <c r="C38" s="4"/>
      <c r="D38" s="4"/>
      <c r="E38" s="4"/>
    </row>
    <row r="39" spans="1:5" x14ac:dyDescent="0.25">
      <c r="A39" s="13"/>
      <c r="B39" s="10"/>
      <c r="C39" s="11"/>
      <c r="D39" s="11"/>
      <c r="E39" s="11"/>
    </row>
    <row r="40" spans="1:5" x14ac:dyDescent="0.25">
      <c r="A40" s="12"/>
      <c r="B40" s="3"/>
      <c r="C40" s="4"/>
      <c r="D40" s="4"/>
      <c r="E40" s="4"/>
    </row>
    <row r="41" spans="1:5" x14ac:dyDescent="0.25">
      <c r="A41" s="13"/>
      <c r="B41" s="10"/>
      <c r="C41" s="11"/>
      <c r="D41" s="11"/>
      <c r="E41" s="11"/>
    </row>
    <row r="42" spans="1:5" x14ac:dyDescent="0.25">
      <c r="A42" s="12"/>
      <c r="B42" s="3"/>
      <c r="C42" s="4"/>
      <c r="D42" s="4"/>
      <c r="E42" s="4"/>
    </row>
    <row r="43" spans="1:5" x14ac:dyDescent="0.25">
      <c r="A43" s="13"/>
      <c r="B43" s="10"/>
      <c r="C43" s="11"/>
      <c r="D43" s="11"/>
      <c r="E43" s="11"/>
    </row>
    <row r="44" spans="1:5" x14ac:dyDescent="0.25">
      <c r="A44" s="12"/>
      <c r="B44" s="3"/>
      <c r="C44" s="4"/>
      <c r="D44" s="4"/>
      <c r="E44" s="4"/>
    </row>
    <row r="45" spans="1:5" x14ac:dyDescent="0.25">
      <c r="A45" s="13"/>
      <c r="B45" s="10"/>
      <c r="C45" s="11"/>
      <c r="D45" s="11"/>
      <c r="E45" s="11"/>
    </row>
    <row r="46" spans="1:5" x14ac:dyDescent="0.25">
      <c r="A46" s="12"/>
      <c r="B46" s="3"/>
      <c r="C46" s="4"/>
      <c r="D46" s="4"/>
      <c r="E46" s="4"/>
    </row>
    <row r="47" spans="1:5" x14ac:dyDescent="0.25">
      <c r="A47" s="13"/>
      <c r="B47" s="10"/>
      <c r="C47" s="11"/>
      <c r="D47" s="11"/>
      <c r="E47" s="11"/>
    </row>
    <row r="48" spans="1:5" x14ac:dyDescent="0.25">
      <c r="A48" s="12"/>
      <c r="B48" s="3"/>
      <c r="C48" s="4"/>
      <c r="D48" s="4"/>
      <c r="E48" s="4"/>
    </row>
    <row r="49" spans="1:5" x14ac:dyDescent="0.25">
      <c r="A49" s="13"/>
      <c r="B49" s="10"/>
      <c r="C49" s="11"/>
      <c r="D49" s="11"/>
      <c r="E49" s="11"/>
    </row>
    <row r="50" spans="1:5" x14ac:dyDescent="0.25">
      <c r="A50" s="12"/>
      <c r="B50" s="3"/>
      <c r="C50" s="4"/>
      <c r="D50" s="4"/>
      <c r="E50" s="4"/>
    </row>
    <row r="51" spans="1:5" x14ac:dyDescent="0.25">
      <c r="A51" s="13"/>
      <c r="B51" s="10"/>
      <c r="C51" s="11"/>
      <c r="D51" s="11"/>
      <c r="E51" s="11"/>
    </row>
    <row r="52" spans="1:5" x14ac:dyDescent="0.25">
      <c r="A52" s="12"/>
      <c r="B52" s="3"/>
      <c r="C52" s="4"/>
      <c r="D52" s="4"/>
      <c r="E52" s="4"/>
    </row>
    <row r="53" spans="1:5" x14ac:dyDescent="0.25">
      <c r="A53" s="13"/>
      <c r="B53" s="10"/>
      <c r="C53" s="11"/>
      <c r="D53" s="11"/>
      <c r="E53" s="11"/>
    </row>
    <row r="54" spans="1:5" x14ac:dyDescent="0.25">
      <c r="A54" s="12"/>
      <c r="B54" s="3"/>
      <c r="C54" s="4"/>
      <c r="D54" s="4"/>
      <c r="E54" s="4"/>
    </row>
    <row r="55" spans="1:5" x14ac:dyDescent="0.25">
      <c r="A55" s="13"/>
      <c r="B55" s="10"/>
      <c r="C55" s="11"/>
      <c r="D55" s="11"/>
      <c r="E55" s="11"/>
    </row>
    <row r="56" spans="1:5" x14ac:dyDescent="0.25">
      <c r="A56" s="12"/>
      <c r="B56" s="3"/>
      <c r="C56" s="4"/>
      <c r="D56" s="4"/>
      <c r="E56" s="4"/>
    </row>
    <row r="57" spans="1:5" x14ac:dyDescent="0.25">
      <c r="A57" s="13"/>
      <c r="B57" s="10"/>
      <c r="C57" s="11"/>
      <c r="D57" s="11"/>
      <c r="E57" s="11"/>
    </row>
    <row r="58" spans="1:5" x14ac:dyDescent="0.25">
      <c r="A58" s="12"/>
      <c r="B58" s="3"/>
      <c r="C58" s="4"/>
      <c r="D58" s="4"/>
      <c r="E58" s="4"/>
    </row>
    <row r="59" spans="1:5" x14ac:dyDescent="0.25">
      <c r="A59" s="13"/>
      <c r="B59" s="10"/>
      <c r="C59" s="11"/>
      <c r="D59" s="11"/>
      <c r="E59" s="11"/>
    </row>
    <row r="60" spans="1:5" x14ac:dyDescent="0.25">
      <c r="A60" s="12"/>
      <c r="B60" s="3"/>
      <c r="C60" s="4"/>
      <c r="D60" s="4"/>
      <c r="E60" s="4"/>
    </row>
    <row r="61" spans="1:5" x14ac:dyDescent="0.25">
      <c r="A61" s="13"/>
      <c r="B61" s="10"/>
      <c r="C61" s="11"/>
      <c r="D61" s="11"/>
      <c r="E61" s="11"/>
    </row>
    <row r="62" spans="1:5" x14ac:dyDescent="0.25">
      <c r="A62" s="12"/>
      <c r="B62" s="3"/>
      <c r="C62" s="4"/>
      <c r="D62" s="4"/>
      <c r="E62" s="4"/>
    </row>
    <row r="63" spans="1:5" x14ac:dyDescent="0.25">
      <c r="A63" s="13"/>
      <c r="B63" s="10"/>
      <c r="C63" s="11"/>
      <c r="D63" s="11"/>
      <c r="E63" s="11"/>
    </row>
    <row r="64" spans="1:5" x14ac:dyDescent="0.25">
      <c r="A64" s="12"/>
      <c r="B64" s="3"/>
      <c r="C64" s="4"/>
      <c r="D64" s="4"/>
      <c r="E64" s="4"/>
    </row>
    <row r="65" spans="1:5" x14ac:dyDescent="0.25">
      <c r="A65" s="13"/>
      <c r="B65" s="10"/>
      <c r="C65" s="11"/>
      <c r="D65" s="11"/>
      <c r="E65" s="11"/>
    </row>
    <row r="66" spans="1:5" x14ac:dyDescent="0.25">
      <c r="A66" s="12"/>
      <c r="B66" s="3"/>
      <c r="C66" s="4"/>
      <c r="D66" s="4"/>
      <c r="E66" s="4"/>
    </row>
    <row r="67" spans="1:5" x14ac:dyDescent="0.25">
      <c r="A67" s="13"/>
      <c r="B67" s="10"/>
      <c r="C67" s="11"/>
      <c r="D67" s="11"/>
      <c r="E67" s="11"/>
    </row>
    <row r="68" spans="1:5" x14ac:dyDescent="0.25">
      <c r="A68" s="12"/>
      <c r="B68" s="3"/>
      <c r="C68" s="4"/>
      <c r="D68" s="4"/>
      <c r="E68" s="4"/>
    </row>
    <row r="69" spans="1:5" x14ac:dyDescent="0.25">
      <c r="A69" s="13"/>
      <c r="B69" s="10"/>
      <c r="C69" s="11"/>
      <c r="D69" s="11"/>
      <c r="E69" s="11"/>
    </row>
    <row r="70" spans="1:5" x14ac:dyDescent="0.25">
      <c r="A70" s="12"/>
      <c r="B70" s="3"/>
      <c r="C70" s="4"/>
      <c r="D70" s="4"/>
      <c r="E70" s="4"/>
    </row>
    <row r="71" spans="1:5" x14ac:dyDescent="0.25">
      <c r="A71" s="13"/>
      <c r="B71" s="10"/>
      <c r="C71" s="11"/>
      <c r="D71" s="11"/>
      <c r="E71" s="11"/>
    </row>
  </sheetData>
  <phoneticPr fontId="1" type="noConversion"/>
  <dataValidations count="1">
    <dataValidation type="list" allowBlank="1" showInputMessage="1" showErrorMessage="1" sqref="E12:E71" xr:uid="{75A33BCD-A13C-4441-AE57-549248ECBC48}">
      <formula1>"Sim,Nao"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D04F1-4CDB-40D6-8264-1FB73E71E834}">
  <dimension ref="A5:C38"/>
  <sheetViews>
    <sheetView workbookViewId="0">
      <selection activeCell="E26" sqref="E26"/>
    </sheetView>
  </sheetViews>
  <sheetFormatPr defaultRowHeight="15" x14ac:dyDescent="0.25"/>
  <cols>
    <col min="1" max="1" width="9.140625" style="1" customWidth="1"/>
    <col min="2" max="2" width="15" style="1" bestFit="1" customWidth="1"/>
    <col min="3" max="6" width="15.140625" style="1" bestFit="1" customWidth="1"/>
    <col min="7" max="12" width="23.140625" style="1" customWidth="1"/>
    <col min="13" max="107" width="3.5703125" style="1" customWidth="1"/>
    <col min="108" max="110" width="26.7109375" style="1" bestFit="1" customWidth="1"/>
    <col min="111" max="16384" width="9.140625" style="1"/>
  </cols>
  <sheetData>
    <row r="5" spans="1:3" x14ac:dyDescent="0.25">
      <c r="B5" s="1" t="s">
        <v>40</v>
      </c>
    </row>
    <row r="7" spans="1:3" x14ac:dyDescent="0.25">
      <c r="A7" s="7" t="s">
        <v>1</v>
      </c>
      <c r="B7" s="7" t="s">
        <v>50</v>
      </c>
      <c r="C7" s="7" t="s">
        <v>51</v>
      </c>
    </row>
    <row r="8" spans="1:3" x14ac:dyDescent="0.25">
      <c r="A8" s="6">
        <v>1</v>
      </c>
      <c r="B8" s="12">
        <v>1</v>
      </c>
      <c r="C8" s="12">
        <v>7</v>
      </c>
    </row>
    <row r="9" spans="1:3" x14ac:dyDescent="0.25">
      <c r="A9" s="6">
        <v>1</v>
      </c>
      <c r="B9" s="12">
        <v>21</v>
      </c>
      <c r="C9" s="12">
        <v>1</v>
      </c>
    </row>
    <row r="10" spans="1:3" x14ac:dyDescent="0.25">
      <c r="A10" s="6">
        <v>3</v>
      </c>
      <c r="B10" s="12">
        <v>1</v>
      </c>
      <c r="C10" s="12">
        <v>1</v>
      </c>
    </row>
    <row r="11" spans="1:3" x14ac:dyDescent="0.25">
      <c r="A11" s="8">
        <v>4</v>
      </c>
      <c r="B11" s="12">
        <v>1</v>
      </c>
      <c r="C11" s="12">
        <v>1</v>
      </c>
    </row>
    <row r="12" spans="1:3" x14ac:dyDescent="0.25">
      <c r="A12" s="6">
        <v>5</v>
      </c>
      <c r="B12" s="12">
        <v>1</v>
      </c>
      <c r="C12" s="12">
        <v>1</v>
      </c>
    </row>
    <row r="13" spans="1:3" x14ac:dyDescent="0.25">
      <c r="A13" s="8">
        <v>6</v>
      </c>
      <c r="B13" s="12">
        <v>1</v>
      </c>
      <c r="C13" s="12">
        <v>1</v>
      </c>
    </row>
    <row r="14" spans="1:3" x14ac:dyDescent="0.25">
      <c r="A14" s="6">
        <v>7</v>
      </c>
      <c r="B14" s="12">
        <v>1</v>
      </c>
      <c r="C14" s="12">
        <v>1</v>
      </c>
    </row>
    <row r="15" spans="1:3" x14ac:dyDescent="0.25">
      <c r="A15" s="8">
        <v>8</v>
      </c>
      <c r="B15" s="12">
        <v>1</v>
      </c>
      <c r="C15" s="12">
        <v>1</v>
      </c>
    </row>
    <row r="16" spans="1:3" x14ac:dyDescent="0.25">
      <c r="A16" s="6">
        <v>9</v>
      </c>
      <c r="B16" s="12">
        <v>1</v>
      </c>
      <c r="C16" s="12">
        <v>1</v>
      </c>
    </row>
    <row r="17" spans="1:3" x14ac:dyDescent="0.25">
      <c r="A17" s="8">
        <v>10</v>
      </c>
      <c r="B17" s="12">
        <v>1</v>
      </c>
      <c r="C17" s="12">
        <v>1</v>
      </c>
    </row>
    <row r="18" spans="1:3" x14ac:dyDescent="0.25">
      <c r="A18" s="6">
        <v>11</v>
      </c>
      <c r="B18" s="12">
        <v>1</v>
      </c>
      <c r="C18" s="12">
        <v>1</v>
      </c>
    </row>
    <row r="19" spans="1:3" x14ac:dyDescent="0.25">
      <c r="A19" s="8">
        <v>12</v>
      </c>
      <c r="B19" s="12">
        <v>1</v>
      </c>
      <c r="C19" s="12">
        <v>1</v>
      </c>
    </row>
    <row r="20" spans="1:3" x14ac:dyDescent="0.25">
      <c r="A20" s="6">
        <v>13</v>
      </c>
      <c r="B20" s="12">
        <v>1</v>
      </c>
      <c r="C20" s="12">
        <v>1</v>
      </c>
    </row>
    <row r="21" spans="1:3" x14ac:dyDescent="0.25">
      <c r="A21" s="8">
        <v>14</v>
      </c>
      <c r="B21" s="9" t="s">
        <v>23</v>
      </c>
      <c r="C21" s="8" t="s">
        <v>29</v>
      </c>
    </row>
    <row r="22" spans="1:3" x14ac:dyDescent="0.25">
      <c r="A22" s="6">
        <v>15</v>
      </c>
      <c r="B22" s="2" t="s">
        <v>24</v>
      </c>
      <c r="C22" s="6" t="s">
        <v>29</v>
      </c>
    </row>
    <row r="23" spans="1:3" x14ac:dyDescent="0.25">
      <c r="A23" s="8">
        <v>16</v>
      </c>
      <c r="B23" s="9" t="s">
        <v>25</v>
      </c>
      <c r="C23" s="8" t="s">
        <v>29</v>
      </c>
    </row>
    <row r="24" spans="1:3" x14ac:dyDescent="0.25">
      <c r="A24" s="6">
        <v>17</v>
      </c>
      <c r="B24" s="2" t="s">
        <v>26</v>
      </c>
      <c r="C24" s="6" t="s">
        <v>29</v>
      </c>
    </row>
    <row r="25" spans="1:3" x14ac:dyDescent="0.25">
      <c r="A25" s="8">
        <v>18</v>
      </c>
      <c r="B25" s="9" t="s">
        <v>27</v>
      </c>
      <c r="C25" s="8" t="s">
        <v>29</v>
      </c>
    </row>
    <row r="26" spans="1:3" x14ac:dyDescent="0.25">
      <c r="A26" s="6">
        <v>19</v>
      </c>
      <c r="B26" s="2" t="s">
        <v>28</v>
      </c>
      <c r="C26" s="6" t="s">
        <v>29</v>
      </c>
    </row>
    <row r="27" spans="1:3" x14ac:dyDescent="0.25">
      <c r="A27" s="8">
        <v>20</v>
      </c>
      <c r="B27" s="9" t="s">
        <v>22</v>
      </c>
      <c r="C27" s="8" t="s">
        <v>29</v>
      </c>
    </row>
    <row r="28" spans="1:3" x14ac:dyDescent="0.25">
      <c r="A28" s="6">
        <v>21</v>
      </c>
      <c r="B28" s="2" t="s">
        <v>23</v>
      </c>
      <c r="C28" s="6" t="s">
        <v>29</v>
      </c>
    </row>
    <row r="29" spans="1:3" x14ac:dyDescent="0.25">
      <c r="A29" s="8">
        <v>22</v>
      </c>
      <c r="B29" s="9" t="s">
        <v>24</v>
      </c>
      <c r="C29" s="8" t="s">
        <v>29</v>
      </c>
    </row>
    <row r="30" spans="1:3" x14ac:dyDescent="0.25">
      <c r="A30" s="6">
        <v>23</v>
      </c>
      <c r="B30" s="2" t="s">
        <v>25</v>
      </c>
      <c r="C30" s="6" t="s">
        <v>29</v>
      </c>
    </row>
    <row r="31" spans="1:3" x14ac:dyDescent="0.25">
      <c r="A31" s="8">
        <v>24</v>
      </c>
      <c r="B31" s="9" t="s">
        <v>26</v>
      </c>
      <c r="C31" s="8" t="s">
        <v>29</v>
      </c>
    </row>
    <row r="32" spans="1:3" x14ac:dyDescent="0.25">
      <c r="A32" s="6">
        <v>25</v>
      </c>
      <c r="B32" s="2" t="s">
        <v>27</v>
      </c>
      <c r="C32" s="6" t="s">
        <v>29</v>
      </c>
    </row>
    <row r="33" spans="1:3" x14ac:dyDescent="0.25">
      <c r="A33" s="8">
        <v>26</v>
      </c>
      <c r="B33" s="9" t="s">
        <v>28</v>
      </c>
      <c r="C33" s="8" t="s">
        <v>29</v>
      </c>
    </row>
    <row r="34" spans="1:3" x14ac:dyDescent="0.25">
      <c r="A34" s="6">
        <v>27</v>
      </c>
      <c r="B34" s="2" t="s">
        <v>22</v>
      </c>
      <c r="C34" s="6" t="s">
        <v>29</v>
      </c>
    </row>
    <row r="35" spans="1:3" x14ac:dyDescent="0.25">
      <c r="A35" s="8">
        <v>28</v>
      </c>
      <c r="B35" s="9" t="s">
        <v>23</v>
      </c>
      <c r="C35" s="8" t="s">
        <v>29</v>
      </c>
    </row>
    <row r="36" spans="1:3" x14ac:dyDescent="0.25">
      <c r="A36" s="6">
        <v>29</v>
      </c>
      <c r="B36" s="2" t="s">
        <v>24</v>
      </c>
      <c r="C36" s="6" t="s">
        <v>29</v>
      </c>
    </row>
    <row r="37" spans="1:3" x14ac:dyDescent="0.25">
      <c r="A37" s="8">
        <v>30</v>
      </c>
      <c r="B37" s="9" t="s">
        <v>25</v>
      </c>
      <c r="C37" s="8" t="s">
        <v>29</v>
      </c>
    </row>
    <row r="38" spans="1:3" x14ac:dyDescent="0.25">
      <c r="A38" s="6">
        <v>31</v>
      </c>
      <c r="B38" s="2" t="s">
        <v>26</v>
      </c>
      <c r="C38" s="6" t="s">
        <v>29</v>
      </c>
    </row>
  </sheetData>
  <dataValidations count="2">
    <dataValidation type="list" allowBlank="1" showInputMessage="1" showErrorMessage="1" sqref="B21:B38" xr:uid="{53E974E6-41F0-4C69-A243-2B4D92F4E1E5}">
      <formula1>"Seg,Ter,Qua,Qui,Sex,Sab,Dom"</formula1>
    </dataValidation>
    <dataValidation type="list" allowBlank="1" showInputMessage="1" showErrorMessage="1" sqref="C21:C39" xr:uid="{D872F512-6AE7-4DDA-B4C4-FDB62C410BEF}">
      <formula1>"Sim,Nao"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E9530-1B40-4B70-870D-BAB8F8FBAD7E}">
  <dimension ref="A3:WXP52"/>
  <sheetViews>
    <sheetView tabSelected="1" topLeftCell="A17" workbookViewId="0">
      <selection activeCell="F22" sqref="F22"/>
    </sheetView>
  </sheetViews>
  <sheetFormatPr defaultRowHeight="15" x14ac:dyDescent="0.25"/>
  <cols>
    <col min="1" max="1" width="15.140625" style="1" bestFit="1" customWidth="1"/>
    <col min="2" max="2" width="15.140625" style="1" customWidth="1"/>
    <col min="3" max="3" width="36.42578125" style="1" bestFit="1" customWidth="1"/>
    <col min="4" max="4" width="22.7109375" style="1" customWidth="1"/>
    <col min="5" max="6" width="15.140625" style="1" bestFit="1" customWidth="1"/>
    <col min="7" max="7" width="23.140625" style="1" customWidth="1"/>
    <col min="8" max="8" width="26.7109375" style="1" bestFit="1" customWidth="1"/>
    <col min="9" max="9" width="24.7109375" style="1" bestFit="1" customWidth="1"/>
    <col min="10" max="10" width="25" style="1" bestFit="1" customWidth="1"/>
    <col min="11" max="12" width="11.7109375" style="1" bestFit="1" customWidth="1"/>
    <col min="13" max="13" width="26.7109375" style="1" bestFit="1" customWidth="1"/>
    <col min="14" max="15477" width="9.140625" style="1"/>
    <col min="16188" max="16384" width="9.140625" style="1"/>
  </cols>
  <sheetData>
    <row r="3" spans="1:10 15478:16188" x14ac:dyDescent="0.25">
      <c r="F3" s="15"/>
    </row>
    <row r="4" spans="1:10 15478:16188" x14ac:dyDescent="0.25">
      <c r="C4" s="1" t="s">
        <v>41</v>
      </c>
      <c r="D4" s="1" t="s">
        <v>40</v>
      </c>
    </row>
    <row r="6" spans="1:10 15478:16188" x14ac:dyDescent="0.25">
      <c r="A6" s="2" t="s">
        <v>32</v>
      </c>
      <c r="B6" s="2"/>
      <c r="C6" s="2" t="s">
        <v>42</v>
      </c>
    </row>
    <row r="7" spans="1:10 15478:16188" x14ac:dyDescent="0.25">
      <c r="A7" s="2" t="s">
        <v>31</v>
      </c>
      <c r="B7" s="2"/>
      <c r="C7" s="2" t="s">
        <v>38</v>
      </c>
    </row>
    <row r="11" spans="1:10 15478:16188" x14ac:dyDescent="0.25">
      <c r="H11" s="16" t="s">
        <v>10</v>
      </c>
      <c r="I11" s="16" t="s">
        <v>14</v>
      </c>
      <c r="J11" s="16" t="s">
        <v>10</v>
      </c>
    </row>
    <row r="12" spans="1:10 15478:16188" x14ac:dyDescent="0.25">
      <c r="A12" s="5" t="s">
        <v>4</v>
      </c>
      <c r="B12" s="5"/>
      <c r="C12" s="5" t="s">
        <v>6</v>
      </c>
      <c r="D12" s="5" t="s">
        <v>37</v>
      </c>
      <c r="E12" s="5" t="s">
        <v>7</v>
      </c>
      <c r="F12" s="5" t="s">
        <v>8</v>
      </c>
      <c r="G12" s="5" t="s">
        <v>9</v>
      </c>
      <c r="H12" s="2" t="s">
        <v>18</v>
      </c>
      <c r="I12" s="2" t="s">
        <v>19</v>
      </c>
      <c r="J12" s="2" t="s">
        <v>20</v>
      </c>
      <c r="VWH12" s="1"/>
      <c r="WXP12"/>
    </row>
    <row r="13" spans="1:10 15478:16188" x14ac:dyDescent="0.25">
      <c r="A13" s="4" t="s">
        <v>5</v>
      </c>
      <c r="B13" s="4"/>
      <c r="C13" s="3">
        <v>18</v>
      </c>
      <c r="D13" s="4" t="s">
        <v>5</v>
      </c>
      <c r="E13" s="3">
        <v>12</v>
      </c>
      <c r="F13" s="4" t="s">
        <v>35</v>
      </c>
      <c r="G13" s="4" t="s">
        <v>36</v>
      </c>
      <c r="H13" s="2" t="s">
        <v>16</v>
      </c>
      <c r="I13" s="2" t="s">
        <v>17</v>
      </c>
      <c r="J13" s="2" t="s">
        <v>21</v>
      </c>
      <c r="VWH13" s="1"/>
      <c r="VWI13" s="1"/>
      <c r="VWJ13" s="1"/>
      <c r="VWK13" s="1"/>
      <c r="VWL13" s="1"/>
      <c r="VWM13" s="1"/>
      <c r="VWN13" s="1"/>
      <c r="VWO13" s="1"/>
      <c r="VWP13" s="1"/>
      <c r="VWQ13" s="1"/>
      <c r="VWR13" s="1"/>
      <c r="VWS13" s="1"/>
      <c r="VWT13" s="1"/>
      <c r="VWU13" s="1"/>
      <c r="VWV13" s="1"/>
      <c r="VWW13" s="1"/>
      <c r="VWX13" s="1"/>
      <c r="VWY13" s="1"/>
      <c r="VWZ13" s="1"/>
      <c r="VXA13" s="1"/>
      <c r="VXB13" s="1"/>
      <c r="VXC13" s="1"/>
      <c r="VXD13" s="1"/>
      <c r="VXE13" s="1"/>
      <c r="VXF13" s="1"/>
      <c r="VXG13" s="1"/>
      <c r="VXH13" s="1"/>
      <c r="VXI13" s="1"/>
      <c r="VXJ13" s="1"/>
      <c r="VXK13" s="1"/>
      <c r="VXL13" s="1"/>
      <c r="VXM13" s="1"/>
      <c r="VXN13" s="1"/>
      <c r="VXO13" s="1"/>
      <c r="VXP13" s="1"/>
      <c r="VXQ13" s="1"/>
      <c r="VXR13" s="1"/>
      <c r="VXS13" s="1"/>
      <c r="VXT13" s="1"/>
      <c r="VXU13" s="1"/>
      <c r="VXV13" s="1"/>
      <c r="VXW13" s="1"/>
      <c r="VXX13" s="1"/>
      <c r="VXY13" s="1"/>
      <c r="VXZ13" s="1"/>
      <c r="VYA13" s="1"/>
      <c r="VYB13" s="1"/>
      <c r="VYC13" s="1"/>
      <c r="VYD13" s="1"/>
      <c r="VYE13" s="1"/>
      <c r="VYF13" s="1"/>
      <c r="VYG13" s="1"/>
      <c r="VYH13" s="1"/>
      <c r="VYI13" s="1"/>
      <c r="VYJ13" s="1"/>
      <c r="VYK13" s="1"/>
      <c r="VYL13" s="1"/>
      <c r="VYM13" s="1"/>
      <c r="VYN13" s="1"/>
      <c r="VYO13" s="1"/>
      <c r="VYP13" s="1"/>
      <c r="VYQ13" s="1"/>
      <c r="VYR13" s="1"/>
      <c r="VYS13" s="1"/>
      <c r="VYT13" s="1"/>
      <c r="VYU13" s="1"/>
      <c r="VYV13" s="1"/>
      <c r="VYW13" s="1"/>
      <c r="VYX13" s="1"/>
      <c r="VYY13" s="1"/>
      <c r="VYZ13" s="1"/>
      <c r="VZA13" s="1"/>
      <c r="VZB13" s="1"/>
      <c r="VZC13" s="1"/>
      <c r="VZD13" s="1"/>
      <c r="VZE13" s="1"/>
      <c r="VZF13" s="1"/>
      <c r="VZG13" s="1"/>
      <c r="VZH13" s="1"/>
      <c r="VZI13" s="1"/>
      <c r="VZJ13" s="1"/>
      <c r="VZK13" s="1"/>
      <c r="VZL13" s="1"/>
      <c r="VZM13" s="1"/>
      <c r="VZN13" s="1"/>
      <c r="VZO13" s="1"/>
      <c r="VZP13" s="1"/>
      <c r="VZQ13" s="1"/>
      <c r="VZR13" s="1"/>
      <c r="VZS13" s="1"/>
      <c r="VZT13" s="1"/>
      <c r="VZU13" s="1"/>
      <c r="VZV13" s="1"/>
      <c r="VZW13" s="1"/>
      <c r="VZX13" s="1"/>
      <c r="VZY13" s="1"/>
      <c r="VZZ13" s="1"/>
      <c r="WAA13" s="1"/>
      <c r="WAB13" s="1"/>
      <c r="WAC13" s="1"/>
      <c r="WAD13" s="1"/>
      <c r="WAE13" s="1"/>
      <c r="WAF13" s="1"/>
      <c r="WAG13" s="1"/>
      <c r="WAH13" s="1"/>
      <c r="WAI13" s="1"/>
      <c r="WAJ13" s="1"/>
      <c r="WAK13" s="1"/>
      <c r="WAL13" s="1"/>
      <c r="WAM13" s="1"/>
      <c r="WAN13" s="1"/>
      <c r="WAO13" s="1"/>
      <c r="WAP13" s="1"/>
      <c r="WAQ13" s="1"/>
      <c r="WAR13" s="1"/>
      <c r="WAS13" s="1"/>
      <c r="WAT13" s="1"/>
      <c r="WAU13" s="1"/>
      <c r="WAV13" s="1"/>
      <c r="WAW13" s="1"/>
      <c r="WAX13" s="1"/>
      <c r="WAY13" s="1"/>
      <c r="WAZ13" s="1"/>
      <c r="WBA13" s="1"/>
      <c r="WBB13" s="1"/>
      <c r="WBC13" s="1"/>
      <c r="WBD13" s="1"/>
      <c r="WBE13" s="1"/>
      <c r="WBF13" s="1"/>
      <c r="WBG13" s="1"/>
      <c r="WBH13" s="1"/>
      <c r="WBI13" s="1"/>
      <c r="WBJ13" s="1"/>
      <c r="WBK13" s="1"/>
      <c r="WBL13" s="1"/>
      <c r="WBM13" s="1"/>
      <c r="WBN13" s="1"/>
      <c r="WBO13" s="1"/>
      <c r="WBP13" s="1"/>
      <c r="WBQ13" s="1"/>
      <c r="WBR13" s="1"/>
      <c r="WBS13" s="1"/>
      <c r="WBT13" s="1"/>
      <c r="WBU13" s="1"/>
      <c r="WBV13" s="1"/>
      <c r="WBW13" s="1"/>
      <c r="WBX13" s="1"/>
      <c r="WBY13" s="1"/>
      <c r="WBZ13" s="1"/>
      <c r="WCA13" s="1"/>
      <c r="WCB13" s="1"/>
      <c r="WCC13" s="1"/>
      <c r="WCD13" s="1"/>
      <c r="WCE13" s="1"/>
      <c r="WCF13" s="1"/>
      <c r="WCG13" s="1"/>
      <c r="WCH13" s="1"/>
      <c r="WCI13" s="1"/>
      <c r="WCJ13" s="1"/>
      <c r="WCK13" s="1"/>
      <c r="WCL13" s="1"/>
      <c r="WCM13" s="1"/>
      <c r="WCN13" s="1"/>
      <c r="WCO13" s="1"/>
      <c r="WCP13" s="1"/>
      <c r="WCQ13" s="1"/>
      <c r="WCR13" s="1"/>
      <c r="WCS13" s="1"/>
      <c r="WCT13" s="1"/>
      <c r="WCU13" s="1"/>
      <c r="WCV13" s="1"/>
      <c r="WCW13" s="1"/>
      <c r="WCX13" s="1"/>
      <c r="WCY13" s="1"/>
      <c r="WCZ13" s="1"/>
      <c r="WDA13" s="1"/>
      <c r="WDB13" s="1"/>
      <c r="WDC13" s="1"/>
      <c r="WDD13" s="1"/>
      <c r="WDE13" s="1"/>
      <c r="WDF13" s="1"/>
      <c r="WDG13" s="1"/>
      <c r="WDH13" s="1"/>
      <c r="WDI13" s="1"/>
      <c r="WDJ13" s="1"/>
      <c r="WDK13" s="1"/>
      <c r="WDL13" s="1"/>
      <c r="WDM13" s="1"/>
      <c r="WDN13" s="1"/>
      <c r="WDO13" s="1"/>
      <c r="WDP13" s="1"/>
      <c r="WDQ13" s="1"/>
      <c r="WDR13" s="1"/>
      <c r="WDS13" s="1"/>
      <c r="WDT13" s="1"/>
      <c r="WDU13" s="1"/>
      <c r="WDV13" s="1"/>
      <c r="WDW13" s="1"/>
      <c r="WDX13" s="1"/>
      <c r="WDY13" s="1"/>
      <c r="WDZ13" s="1"/>
      <c r="WEA13" s="1"/>
      <c r="WEB13" s="1"/>
      <c r="WEC13" s="1"/>
      <c r="WED13" s="1"/>
      <c r="WEE13" s="1"/>
      <c r="WEF13" s="1"/>
      <c r="WEG13" s="1"/>
      <c r="WEH13" s="1"/>
      <c r="WEI13" s="1"/>
      <c r="WEJ13" s="1"/>
      <c r="WEK13" s="1"/>
      <c r="WEL13" s="1"/>
      <c r="WEM13" s="1"/>
      <c r="WEN13" s="1"/>
      <c r="WEO13" s="1"/>
      <c r="WEP13" s="1"/>
      <c r="WEQ13" s="1"/>
      <c r="WER13" s="1"/>
      <c r="WES13" s="1"/>
      <c r="WET13" s="1"/>
      <c r="WEU13" s="1"/>
      <c r="WEV13" s="1"/>
      <c r="WEW13" s="1"/>
      <c r="WEX13" s="1"/>
      <c r="WEY13" s="1"/>
      <c r="WEZ13" s="1"/>
      <c r="WFA13" s="1"/>
      <c r="WFB13" s="1"/>
      <c r="WFC13" s="1"/>
      <c r="WFD13" s="1"/>
      <c r="WFE13" s="1"/>
      <c r="WFF13" s="1"/>
      <c r="WFG13" s="1"/>
      <c r="WFH13" s="1"/>
      <c r="WFI13" s="1"/>
      <c r="WFJ13" s="1"/>
      <c r="WFK13" s="1"/>
      <c r="WFL13" s="1"/>
      <c r="WFM13" s="1"/>
      <c r="WFN13" s="1"/>
      <c r="WFO13" s="1"/>
      <c r="WFP13" s="1"/>
      <c r="WFQ13" s="1"/>
      <c r="WFR13" s="1"/>
      <c r="WFS13" s="1"/>
      <c r="WFT13" s="1"/>
      <c r="WFU13" s="1"/>
      <c r="WFV13" s="1"/>
      <c r="WFW13" s="1"/>
      <c r="WFX13" s="1"/>
      <c r="WFY13" s="1"/>
      <c r="WFZ13" s="1"/>
      <c r="WGA13" s="1"/>
      <c r="WGB13" s="1"/>
      <c r="WGC13" s="1"/>
      <c r="WGD13" s="1"/>
      <c r="WGE13" s="1"/>
      <c r="WGF13" s="1"/>
      <c r="WGG13" s="1"/>
      <c r="WGH13" s="1"/>
      <c r="WGI13" s="1"/>
      <c r="WGJ13" s="1"/>
      <c r="WGK13" s="1"/>
      <c r="WGL13" s="1"/>
      <c r="WGM13" s="1"/>
      <c r="WGN13" s="1"/>
      <c r="WGO13" s="1"/>
      <c r="WGP13" s="1"/>
      <c r="WGQ13" s="1"/>
      <c r="WGR13" s="1"/>
      <c r="WGS13" s="1"/>
      <c r="WGT13" s="1"/>
      <c r="WGU13" s="1"/>
      <c r="WGV13" s="1"/>
      <c r="WGW13" s="1"/>
      <c r="WGX13" s="1"/>
      <c r="WGY13" s="1"/>
      <c r="WGZ13" s="1"/>
      <c r="WHA13" s="1"/>
      <c r="WHB13" s="1"/>
      <c r="WHC13" s="1"/>
      <c r="WHD13" s="1"/>
      <c r="WHE13" s="1"/>
      <c r="WHF13" s="1"/>
      <c r="WHG13" s="1"/>
      <c r="WHH13" s="1"/>
      <c r="WHI13" s="1"/>
      <c r="WHJ13" s="1"/>
      <c r="WHK13" s="1"/>
      <c r="WHL13" s="1"/>
      <c r="WHM13" s="1"/>
      <c r="WHN13" s="1"/>
      <c r="WHO13" s="1"/>
      <c r="WHP13" s="1"/>
      <c r="WHQ13" s="1"/>
      <c r="WHR13" s="1"/>
      <c r="WHS13" s="1"/>
      <c r="WHT13" s="1"/>
      <c r="WHU13" s="1"/>
      <c r="WHV13" s="1"/>
      <c r="WHW13" s="1"/>
      <c r="WHX13" s="1"/>
      <c r="WHY13" s="1"/>
      <c r="WHZ13" s="1"/>
      <c r="WIA13" s="1"/>
      <c r="WIB13" s="1"/>
      <c r="WIC13" s="1"/>
      <c r="WID13" s="1"/>
      <c r="WIE13" s="1"/>
      <c r="WIF13" s="1"/>
      <c r="WIG13" s="1"/>
      <c r="WIH13" s="1"/>
      <c r="WII13" s="1"/>
      <c r="WIJ13" s="1"/>
      <c r="WIK13" s="1"/>
      <c r="WIL13" s="1"/>
      <c r="WIM13" s="1"/>
      <c r="WIN13" s="1"/>
      <c r="WIO13" s="1"/>
      <c r="WIP13" s="1"/>
      <c r="WIQ13" s="1"/>
      <c r="WIR13" s="1"/>
      <c r="WIS13" s="1"/>
      <c r="WIT13" s="1"/>
      <c r="WIU13" s="1"/>
      <c r="WIV13" s="1"/>
      <c r="WIW13" s="1"/>
      <c r="WIX13" s="1"/>
      <c r="WIY13" s="1"/>
      <c r="WIZ13" s="1"/>
      <c r="WJA13" s="1"/>
      <c r="WJB13" s="1"/>
      <c r="WJC13" s="1"/>
      <c r="WJD13" s="1"/>
      <c r="WJE13" s="1"/>
      <c r="WJF13" s="1"/>
      <c r="WJG13" s="1"/>
      <c r="WJH13" s="1"/>
      <c r="WJI13" s="1"/>
      <c r="WJJ13" s="1"/>
      <c r="WJK13" s="1"/>
      <c r="WJL13" s="1"/>
      <c r="WJM13" s="1"/>
      <c r="WJN13" s="1"/>
      <c r="WJO13" s="1"/>
      <c r="WJP13" s="1"/>
      <c r="WJQ13" s="1"/>
      <c r="WJR13" s="1"/>
      <c r="WJS13" s="1"/>
      <c r="WJT13" s="1"/>
      <c r="WJU13" s="1"/>
      <c r="WJV13" s="1"/>
      <c r="WJW13" s="1"/>
      <c r="WJX13" s="1"/>
      <c r="WJY13" s="1"/>
      <c r="WJZ13" s="1"/>
      <c r="WKA13" s="1"/>
      <c r="WKB13" s="1"/>
      <c r="WKC13" s="1"/>
      <c r="WKD13" s="1"/>
      <c r="WKE13" s="1"/>
      <c r="WKF13" s="1"/>
      <c r="WKG13" s="1"/>
      <c r="WKH13" s="1"/>
      <c r="WKI13" s="1"/>
      <c r="WKJ13" s="1"/>
      <c r="WKK13" s="1"/>
      <c r="WKL13" s="1"/>
      <c r="WKM13" s="1"/>
      <c r="WKN13" s="1"/>
      <c r="WKO13" s="1"/>
      <c r="WKP13" s="1"/>
      <c r="WKQ13" s="1"/>
      <c r="WKR13" s="1"/>
      <c r="WKS13" s="1"/>
      <c r="WKT13" s="1"/>
      <c r="WKU13" s="1"/>
      <c r="WKV13" s="1"/>
      <c r="WKW13" s="1"/>
      <c r="WKX13" s="1"/>
      <c r="WKY13" s="1"/>
      <c r="WKZ13" s="1"/>
      <c r="WLA13" s="1"/>
      <c r="WLB13" s="1"/>
      <c r="WLC13" s="1"/>
      <c r="WLD13" s="1"/>
      <c r="WLE13" s="1"/>
      <c r="WLF13" s="1"/>
      <c r="WLG13" s="1"/>
      <c r="WLH13" s="1"/>
      <c r="WLI13" s="1"/>
      <c r="WLJ13" s="1"/>
      <c r="WLK13" s="1"/>
      <c r="WLL13" s="1"/>
      <c r="WLM13" s="1"/>
      <c r="WLN13" s="1"/>
      <c r="WLO13" s="1"/>
      <c r="WLP13" s="1"/>
      <c r="WLQ13" s="1"/>
      <c r="WLR13" s="1"/>
      <c r="WLS13" s="1"/>
      <c r="WLT13" s="1"/>
      <c r="WLU13" s="1"/>
      <c r="WLV13" s="1"/>
      <c r="WLW13" s="1"/>
      <c r="WLX13" s="1"/>
      <c r="WLY13" s="1"/>
      <c r="WLZ13" s="1"/>
      <c r="WMA13" s="1"/>
      <c r="WMB13" s="1"/>
      <c r="WMC13" s="1"/>
      <c r="WMD13" s="1"/>
      <c r="WME13" s="1"/>
      <c r="WMF13" s="1"/>
      <c r="WMG13" s="1"/>
      <c r="WMH13" s="1"/>
      <c r="WMI13" s="1"/>
      <c r="WMJ13" s="1"/>
      <c r="WMK13" s="1"/>
      <c r="WML13" s="1"/>
      <c r="WMM13" s="1"/>
      <c r="WMN13" s="1"/>
      <c r="WMO13" s="1"/>
      <c r="WMP13" s="1"/>
      <c r="WMQ13" s="1"/>
      <c r="WMR13" s="1"/>
      <c r="WMS13" s="1"/>
      <c r="WMT13" s="1"/>
      <c r="WMU13" s="1"/>
      <c r="WMV13" s="1"/>
      <c r="WMW13" s="1"/>
      <c r="WMX13" s="1"/>
      <c r="WMY13" s="1"/>
      <c r="WMZ13" s="1"/>
      <c r="WNA13" s="1"/>
      <c r="WNB13" s="1"/>
      <c r="WNC13" s="1"/>
      <c r="WND13" s="1"/>
      <c r="WNE13" s="1"/>
      <c r="WNF13" s="1"/>
      <c r="WNG13" s="1"/>
      <c r="WNH13" s="1"/>
      <c r="WNI13" s="1"/>
      <c r="WNJ13" s="1"/>
      <c r="WNK13" s="1"/>
      <c r="WNL13" s="1"/>
      <c r="WNM13" s="1"/>
      <c r="WNN13" s="1"/>
      <c r="WNO13" s="1"/>
      <c r="WNP13" s="1"/>
      <c r="WNQ13" s="1"/>
      <c r="WNR13" s="1"/>
      <c r="WNS13" s="1"/>
      <c r="WNT13" s="1"/>
      <c r="WNU13" s="1"/>
      <c r="WNV13" s="1"/>
      <c r="WNW13" s="1"/>
      <c r="WNX13" s="1"/>
      <c r="WNY13" s="1"/>
      <c r="WNZ13" s="1"/>
      <c r="WOA13" s="1"/>
      <c r="WOB13" s="1"/>
      <c r="WOC13" s="1"/>
      <c r="WOD13" s="1"/>
      <c r="WOE13" s="1"/>
      <c r="WOF13" s="1"/>
      <c r="WOG13" s="1"/>
      <c r="WOH13" s="1"/>
      <c r="WOI13" s="1"/>
      <c r="WOJ13" s="1"/>
      <c r="WOK13" s="1"/>
      <c r="WOL13" s="1"/>
      <c r="WOM13" s="1"/>
      <c r="WON13" s="1"/>
      <c r="WOO13" s="1"/>
      <c r="WOP13" s="1"/>
      <c r="WOQ13" s="1"/>
      <c r="WOR13" s="1"/>
      <c r="WOS13" s="1"/>
      <c r="WOT13" s="1"/>
      <c r="WOU13" s="1"/>
      <c r="WOV13" s="1"/>
      <c r="WOW13" s="1"/>
      <c r="WOX13" s="1"/>
      <c r="WOY13" s="1"/>
      <c r="WOZ13" s="1"/>
      <c r="WPA13" s="1"/>
      <c r="WPB13" s="1"/>
      <c r="WPC13" s="1"/>
      <c r="WPD13" s="1"/>
      <c r="WPE13" s="1"/>
      <c r="WPF13" s="1"/>
      <c r="WPG13" s="1"/>
      <c r="WPH13" s="1"/>
      <c r="WPI13" s="1"/>
      <c r="WPJ13" s="1"/>
      <c r="WPK13" s="1"/>
      <c r="WPL13" s="1"/>
      <c r="WPM13" s="1"/>
      <c r="WPN13" s="1"/>
      <c r="WPO13" s="1"/>
      <c r="WPP13" s="1"/>
      <c r="WPQ13" s="1"/>
      <c r="WPR13" s="1"/>
      <c r="WPS13" s="1"/>
      <c r="WPT13" s="1"/>
      <c r="WPU13" s="1"/>
      <c r="WPV13" s="1"/>
      <c r="WPW13" s="1"/>
      <c r="WPX13" s="1"/>
      <c r="WPY13" s="1"/>
      <c r="WPZ13" s="1"/>
      <c r="WQA13" s="1"/>
      <c r="WQB13" s="1"/>
      <c r="WQC13" s="1"/>
      <c r="WQD13" s="1"/>
      <c r="WQE13" s="1"/>
      <c r="WQF13" s="1"/>
      <c r="WQG13" s="1"/>
      <c r="WQH13" s="1"/>
      <c r="WQI13" s="1"/>
      <c r="WQJ13" s="1"/>
      <c r="WQK13" s="1"/>
      <c r="WQL13" s="1"/>
      <c r="WQM13" s="1"/>
      <c r="WQN13" s="1"/>
      <c r="WQO13" s="1"/>
      <c r="WQP13" s="1"/>
      <c r="WQQ13" s="1"/>
      <c r="WQR13" s="1"/>
      <c r="WQS13" s="1"/>
      <c r="WQT13" s="1"/>
      <c r="WQU13" s="1"/>
      <c r="WQV13" s="1"/>
      <c r="WQW13" s="1"/>
      <c r="WQX13" s="1"/>
      <c r="WQY13" s="1"/>
      <c r="WQZ13" s="1"/>
      <c r="WRA13" s="1"/>
      <c r="WRB13" s="1"/>
      <c r="WRC13" s="1"/>
      <c r="WRD13" s="1"/>
      <c r="WRE13" s="1"/>
      <c r="WRF13" s="1"/>
      <c r="WRG13" s="1"/>
      <c r="WRH13" s="1"/>
      <c r="WRI13" s="1"/>
      <c r="WRJ13" s="1"/>
      <c r="WRK13" s="1"/>
      <c r="WRL13" s="1"/>
      <c r="WRM13" s="1"/>
      <c r="WRN13" s="1"/>
      <c r="WRO13" s="1"/>
      <c r="WRP13" s="1"/>
      <c r="WRQ13" s="1"/>
      <c r="WRR13" s="1"/>
      <c r="WRS13" s="1"/>
      <c r="WRT13" s="1"/>
      <c r="WRU13" s="1"/>
      <c r="WRV13" s="1"/>
      <c r="WRW13" s="1"/>
      <c r="WRX13" s="1"/>
      <c r="WRY13" s="1"/>
      <c r="WRZ13" s="1"/>
      <c r="WSA13" s="1"/>
      <c r="WSB13" s="1"/>
      <c r="WSC13" s="1"/>
      <c r="WSD13" s="1"/>
      <c r="WSE13" s="1"/>
      <c r="WSF13" s="1"/>
      <c r="WSG13" s="1"/>
      <c r="WSH13" s="1"/>
      <c r="WSI13" s="1"/>
      <c r="WSJ13" s="1"/>
      <c r="WSK13" s="1"/>
      <c r="WSL13" s="1"/>
      <c r="WSM13" s="1"/>
      <c r="WSN13" s="1"/>
      <c r="WSO13" s="1"/>
      <c r="WSP13" s="1"/>
      <c r="WSQ13" s="1"/>
      <c r="WSR13" s="1"/>
      <c r="WSS13" s="1"/>
      <c r="WST13" s="1"/>
      <c r="WSU13" s="1"/>
      <c r="WSV13" s="1"/>
      <c r="WSW13" s="1"/>
      <c r="WSX13" s="1"/>
      <c r="WSY13" s="1"/>
      <c r="WSZ13" s="1"/>
      <c r="WTA13" s="1"/>
      <c r="WTB13" s="1"/>
      <c r="WTC13" s="1"/>
      <c r="WTD13" s="1"/>
      <c r="WTE13" s="1"/>
      <c r="WTF13" s="1"/>
      <c r="WTG13" s="1"/>
      <c r="WTH13" s="1"/>
      <c r="WTI13" s="1"/>
      <c r="WTJ13" s="1"/>
      <c r="WTK13" s="1"/>
      <c r="WTL13" s="1"/>
      <c r="WTM13" s="1"/>
      <c r="WTN13" s="1"/>
      <c r="WTO13" s="1"/>
      <c r="WTP13" s="1"/>
      <c r="WTQ13" s="1"/>
      <c r="WTR13" s="1"/>
      <c r="WTS13" s="1"/>
      <c r="WTT13" s="1"/>
      <c r="WTU13" s="1"/>
      <c r="WTV13" s="1"/>
      <c r="WTW13" s="1"/>
      <c r="WTX13" s="1"/>
      <c r="WTY13" s="1"/>
      <c r="WTZ13" s="1"/>
      <c r="WUA13" s="1"/>
      <c r="WUB13" s="1"/>
      <c r="WUC13" s="1"/>
      <c r="WUD13" s="1"/>
      <c r="WUE13" s="1"/>
      <c r="WUF13" s="1"/>
      <c r="WUG13" s="1"/>
      <c r="WUH13" s="1"/>
      <c r="WUI13" s="1"/>
      <c r="WUJ13" s="1"/>
      <c r="WUK13" s="1"/>
      <c r="WUL13" s="1"/>
      <c r="WUM13" s="1"/>
      <c r="WUN13" s="1"/>
      <c r="WUO13" s="1"/>
      <c r="WUP13" s="1"/>
      <c r="WUQ13" s="1"/>
      <c r="WUR13" s="1"/>
      <c r="WUS13" s="1"/>
      <c r="WUT13" s="1"/>
      <c r="WUU13" s="1"/>
      <c r="WUV13" s="1"/>
      <c r="WUW13" s="1"/>
      <c r="WUX13" s="1"/>
      <c r="WUY13" s="1"/>
      <c r="WUZ13" s="1"/>
      <c r="WVA13" s="1"/>
      <c r="WVB13" s="1"/>
      <c r="WVC13" s="1"/>
      <c r="WVD13" s="1"/>
      <c r="WVE13" s="1"/>
      <c r="WVF13" s="1"/>
      <c r="WVG13" s="1"/>
      <c r="WVH13" s="1"/>
      <c r="WVI13" s="1"/>
      <c r="WVJ13" s="1"/>
      <c r="WVK13" s="1"/>
      <c r="WVL13" s="1"/>
      <c r="WVM13" s="1"/>
      <c r="WVN13" s="1"/>
      <c r="WVO13" s="1"/>
      <c r="WVP13" s="1"/>
      <c r="WVQ13" s="1"/>
      <c r="WVR13" s="1"/>
      <c r="WVS13" s="1"/>
      <c r="WVT13" s="1"/>
      <c r="WVU13" s="1"/>
      <c r="WVV13" s="1"/>
      <c r="WVW13" s="1"/>
      <c r="WVX13" s="1"/>
      <c r="WVY13" s="1"/>
      <c r="WVZ13" s="1"/>
      <c r="WWA13" s="1"/>
      <c r="WWB13" s="1"/>
      <c r="WWC13" s="1"/>
      <c r="WWD13" s="1"/>
      <c r="WWE13" s="1"/>
      <c r="WWF13" s="1"/>
      <c r="WWG13" s="1"/>
      <c r="WWH13" s="1"/>
      <c r="WWI13" s="1"/>
      <c r="WWJ13" s="1"/>
      <c r="WWK13" s="1"/>
      <c r="WWL13" s="1"/>
      <c r="WWM13" s="1"/>
      <c r="WWN13" s="1"/>
      <c r="WWO13" s="1"/>
      <c r="WWP13" s="1"/>
      <c r="WWQ13" s="1"/>
      <c r="WWR13" s="1"/>
      <c r="WWS13" s="1"/>
      <c r="WWT13" s="1"/>
      <c r="WWU13" s="1"/>
      <c r="WWV13" s="1"/>
      <c r="WWW13" s="1"/>
      <c r="WWX13" s="1"/>
      <c r="WWY13" s="1"/>
      <c r="WWZ13" s="1"/>
      <c r="WXA13" s="1"/>
      <c r="WXB13" s="1"/>
      <c r="WXC13" s="1"/>
      <c r="WXD13" s="1"/>
      <c r="WXE13" s="1"/>
      <c r="WXF13" s="1"/>
      <c r="WXG13" s="1"/>
      <c r="WXH13" s="1"/>
      <c r="WXI13" s="1"/>
      <c r="WXJ13" s="1"/>
      <c r="WXK13" s="1"/>
      <c r="WXL13" s="1"/>
      <c r="WXM13" s="1"/>
      <c r="WXN13" s="1"/>
      <c r="WXO13" s="1"/>
    </row>
    <row r="21" spans="1:11" x14ac:dyDescent="0.25">
      <c r="A21" s="1" t="s">
        <v>162</v>
      </c>
    </row>
    <row r="22" spans="1:11" x14ac:dyDescent="0.25">
      <c r="A22" s="26" t="s">
        <v>163</v>
      </c>
      <c r="B22" s="26" t="s">
        <v>166</v>
      </c>
      <c r="C22" s="26" t="s">
        <v>164</v>
      </c>
      <c r="D22" s="26" t="s">
        <v>165</v>
      </c>
      <c r="E22" s="26" t="s">
        <v>148</v>
      </c>
      <c r="F22" s="26" t="s">
        <v>149</v>
      </c>
      <c r="G22" s="26" t="s">
        <v>150</v>
      </c>
      <c r="H22" s="26" t="s">
        <v>151</v>
      </c>
      <c r="I22" s="26" t="s">
        <v>152</v>
      </c>
      <c r="J22" s="26" t="s">
        <v>153</v>
      </c>
      <c r="K22" s="26" t="s">
        <v>154</v>
      </c>
    </row>
    <row r="23" spans="1:11" x14ac:dyDescent="0.25">
      <c r="A23" s="2">
        <v>17</v>
      </c>
      <c r="B23" s="6" t="str">
        <f>INDEX(disciplinaGrade!$A$3:$L$400,MATCH('Prof1-1234567'!A23,disciplinaGrade!$A$3:$A$400,0),MATCH(disciplinaGrade!$C$3,disciplinaGrade!$A$3:$L$3,0))</f>
        <v>ADS</v>
      </c>
      <c r="C23" s="27" t="str">
        <f>INDEX(disciplinaGrade!$A$3:$L$400,MATCH('Prof1-1234567'!A23,disciplinaGrade!$A$3:$A$400,0),MATCH(disciplinaGrade!$D$3,disciplinaGrade!$A$3:$L$3,0))</f>
        <v>laboratóeio de engenharia de Software</v>
      </c>
      <c r="D23" s="6" t="str">
        <f>INDEX(disciplinaGrade!$A$3:$L$400,MATCH('Prof1-1234567'!A23,disciplinaGrade!$A$3:$A$400,0),MATCH(disciplinaGrade!$E$3,disciplinaGrade!$A$3:$L$3,0))</f>
        <v>Quarta</v>
      </c>
      <c r="E23" s="6" t="str">
        <f>INDEX(disciplinaGrade!$A$3:$L$400,MATCH('Prof1-1234567'!A23,disciplinaGrade!$A$3:$A$400,0),MATCH(disciplinaGrade!$F$3,disciplinaGrade!$A$3:$L$3,0))</f>
        <v>Tarde</v>
      </c>
      <c r="F23" s="6" t="str">
        <f>INDEX(disciplinaGrade!$A$3:$L$400,MATCH('Prof1-1234567'!A23,disciplinaGrade!$A$3:$A$400,0),MATCH(disciplinaGrade!$G$3,disciplinaGrade!$A$3:$L$3,0))</f>
        <v>X</v>
      </c>
      <c r="G23" s="6" t="str">
        <f>INDEX(disciplinaGrade!$A$3:$L$400,MATCH('Prof1-1234567'!A23,disciplinaGrade!$A$3:$A$400,0),MATCH(disciplinaGrade!$H$3,disciplinaGrade!$A$3:$L$3,0))</f>
        <v>X</v>
      </c>
      <c r="H23" s="6" t="str">
        <f>INDEX(disciplinaGrade!$A$3:$L$400,MATCH('Prof1-1234567'!A23,disciplinaGrade!$A$3:$A$400,0),MATCH(disciplinaGrade!$I$3,disciplinaGrade!$A$3:$L$3,0))</f>
        <v>X</v>
      </c>
      <c r="I23" s="6" t="str">
        <f>INDEX(disciplinaGrade!$A$3:$L$400,MATCH('Prof1-1234567'!A23,disciplinaGrade!$A$3:$A$400,0),MATCH(disciplinaGrade!$J$3,disciplinaGrade!$A$3:$L$3,0))</f>
        <v>X</v>
      </c>
      <c r="J23" s="6">
        <f>INDEX(disciplinaGrade!$A$3:$L$400,MATCH('Prof1-1234567'!A23,disciplinaGrade!$A$3:$A$400,0),MATCH(disciplinaGrade!$K$3,disciplinaGrade!$A$3:$L$3,0))</f>
        <v>0</v>
      </c>
      <c r="K23" s="6">
        <f>INDEX(disciplinaGrade!$A$3:$L$400,MATCH('Prof1-1234567'!A23,disciplinaGrade!$A$3:$A$400,0),MATCH(disciplinaGrade!$L$3,disciplinaGrade!$A$3:$L$3,0))</f>
        <v>0</v>
      </c>
    </row>
    <row r="24" spans="1:11" x14ac:dyDescent="0.25">
      <c r="A24" s="2">
        <v>18</v>
      </c>
      <c r="B24" s="6" t="str">
        <f>INDEX(disciplinaGrade!$A$3:$L$400,MATCH('Prof1-1234567'!A24,disciplinaGrade!$A$3:$A$400,0),MATCH(disciplinaGrade!$C$3,disciplinaGrade!$A$3:$L$3,0))</f>
        <v>ADS</v>
      </c>
      <c r="C24" s="27" t="str">
        <f>INDEX(disciplinaGrade!$A$3:$L$400,MATCH('Prof1-1234567'!A24,disciplinaGrade!$A$3:$A$400,0),MATCH(disciplinaGrade!$D$3,disciplinaGrade!$A$3:$L$3,0))</f>
        <v>laboratóeio de engenharia de Software</v>
      </c>
      <c r="D24" s="6" t="str">
        <f>INDEX(disciplinaGrade!$A$3:$L$400,MATCH('Prof1-1234567'!A24,disciplinaGrade!$A$3:$A$400,0),MATCH(disciplinaGrade!$E$3,disciplinaGrade!$A$3:$L$3,0))</f>
        <v>Quarta</v>
      </c>
      <c r="E24" s="6" t="str">
        <f>INDEX(disciplinaGrade!$A$3:$L$400,MATCH('Prof1-1234567'!A24,disciplinaGrade!$A$3:$A$400,0),MATCH(disciplinaGrade!$F$3,disciplinaGrade!$A$3:$L$3,0))</f>
        <v>Noite</v>
      </c>
      <c r="F24" s="6">
        <f>INDEX(disciplinaGrade!$A$3:$L$400,MATCH('Prof1-1234567'!A24,disciplinaGrade!$A$3:$A$400,0),MATCH(disciplinaGrade!$G$3,disciplinaGrade!$A$3:$L$3,0))</f>
        <v>0</v>
      </c>
      <c r="G24" s="6">
        <f>INDEX(disciplinaGrade!$A$3:$L$400,MATCH('Prof1-1234567'!A24,disciplinaGrade!$A$3:$A$400,0),MATCH(disciplinaGrade!$H$3,disciplinaGrade!$A$3:$L$3,0))</f>
        <v>0</v>
      </c>
      <c r="H24" s="6" t="str">
        <f>INDEX(disciplinaGrade!$A$3:$L$400,MATCH('Prof1-1234567'!A24,disciplinaGrade!$A$3:$A$400,0),MATCH(disciplinaGrade!$I$3,disciplinaGrade!$A$3:$L$3,0))</f>
        <v>X</v>
      </c>
      <c r="I24" s="6" t="str">
        <f>INDEX(disciplinaGrade!$A$3:$L$400,MATCH('Prof1-1234567'!A24,disciplinaGrade!$A$3:$A$400,0),MATCH(disciplinaGrade!$J$3,disciplinaGrade!$A$3:$L$3,0))</f>
        <v>X</v>
      </c>
      <c r="J24" s="6" t="str">
        <f>INDEX(disciplinaGrade!$A$3:$L$400,MATCH('Prof1-1234567'!A24,disciplinaGrade!$A$3:$A$400,0),MATCH(disciplinaGrade!$K$3,disciplinaGrade!$A$3:$L$3,0))</f>
        <v>X</v>
      </c>
      <c r="K24" s="6" t="str">
        <f>INDEX(disciplinaGrade!$A$3:$L$400,MATCH('Prof1-1234567'!A24,disciplinaGrade!$A$3:$A$400,0),MATCH(disciplinaGrade!$L$3,disciplinaGrade!$A$3:$L$3,0))</f>
        <v>X</v>
      </c>
    </row>
    <row r="25" spans="1:11" x14ac:dyDescent="0.25">
      <c r="A25" s="2">
        <v>19</v>
      </c>
      <c r="B25" s="6" t="str">
        <f>INDEX(disciplinaGrade!$A$3:$L$400,MATCH('Prof1-1234567'!A25,disciplinaGrade!$A$3:$A$400,0),MATCH(disciplinaGrade!$C$3,disciplinaGrade!$A$3:$L$3,0))</f>
        <v>ADS</v>
      </c>
      <c r="C25" s="27" t="str">
        <f>INDEX(disciplinaGrade!$A$3:$L$400,MATCH('Prof1-1234567'!A25,disciplinaGrade!$A$3:$A$400,0),MATCH(disciplinaGrade!$D$3,disciplinaGrade!$A$3:$L$3,0))</f>
        <v>PEM</v>
      </c>
      <c r="D25" s="6" t="str">
        <f>INDEX(disciplinaGrade!$A$3:$L$400,MATCH('Prof1-1234567'!A25,disciplinaGrade!$A$3:$A$400,0),MATCH(disciplinaGrade!$E$3,disciplinaGrade!$A$3:$L$3,0))</f>
        <v>Sexta</v>
      </c>
      <c r="E25" s="6" t="str">
        <f>INDEX(disciplinaGrade!$A$3:$L$400,MATCH('Prof1-1234567'!A25,disciplinaGrade!$A$3:$A$400,0),MATCH(disciplinaGrade!$F$3,disciplinaGrade!$A$3:$L$3,0))</f>
        <v>Tarde</v>
      </c>
      <c r="F25" s="6" t="str">
        <f>INDEX(disciplinaGrade!$A$3:$L$400,MATCH('Prof1-1234567'!A25,disciplinaGrade!$A$3:$A$400,0),MATCH(disciplinaGrade!$G$3,disciplinaGrade!$A$3:$L$3,0))</f>
        <v>X</v>
      </c>
      <c r="G25" s="6" t="str">
        <f>INDEX(disciplinaGrade!$A$3:$L$400,MATCH('Prof1-1234567'!A25,disciplinaGrade!$A$3:$A$400,0),MATCH(disciplinaGrade!$H$3,disciplinaGrade!$A$3:$L$3,0))</f>
        <v>X</v>
      </c>
      <c r="H25" s="6" t="str">
        <f>INDEX(disciplinaGrade!$A$3:$L$400,MATCH('Prof1-1234567'!A25,disciplinaGrade!$A$3:$A$400,0),MATCH(disciplinaGrade!$I$3,disciplinaGrade!$A$3:$L$3,0))</f>
        <v>X</v>
      </c>
      <c r="I25" s="6" t="str">
        <f>INDEX(disciplinaGrade!$A$3:$L$400,MATCH('Prof1-1234567'!A25,disciplinaGrade!$A$3:$A$400,0),MATCH(disciplinaGrade!$J$3,disciplinaGrade!$A$3:$L$3,0))</f>
        <v>X</v>
      </c>
      <c r="J25" s="6">
        <f>INDEX(disciplinaGrade!$A$3:$L$400,MATCH('Prof1-1234567'!A25,disciplinaGrade!$A$3:$A$400,0),MATCH(disciplinaGrade!$K$3,disciplinaGrade!$A$3:$L$3,0))</f>
        <v>0</v>
      </c>
      <c r="K25" s="6">
        <f>INDEX(disciplinaGrade!$A$3:$L$400,MATCH('Prof1-1234567'!A25,disciplinaGrade!$A$3:$A$400,0),MATCH(disciplinaGrade!$L$3,disciplinaGrade!$A$3:$L$3,0))</f>
        <v>0</v>
      </c>
    </row>
    <row r="26" spans="1:11" x14ac:dyDescent="0.25">
      <c r="A26" s="2">
        <v>20</v>
      </c>
      <c r="B26" s="6" t="str">
        <f>INDEX(disciplinaGrade!$A$3:$L$400,MATCH('Prof1-1234567'!A26,disciplinaGrade!$A$3:$A$400,0),MATCH(disciplinaGrade!$C$3,disciplinaGrade!$A$3:$L$3,0))</f>
        <v>BigData</v>
      </c>
      <c r="C26" s="27" t="str">
        <f>INDEX(disciplinaGrade!$A$3:$L$400,MATCH('Prof1-1234567'!A26,disciplinaGrade!$A$3:$A$400,0),MATCH(disciplinaGrade!$D$3,disciplinaGrade!$A$3:$L$3,0))</f>
        <v>Estrutura de Dados</v>
      </c>
      <c r="D26" s="6" t="str">
        <f>INDEX(disciplinaGrade!$A$3:$L$400,MATCH('Prof1-1234567'!A26,disciplinaGrade!$A$3:$A$400,0),MATCH(disciplinaGrade!$E$3,disciplinaGrade!$A$3:$L$3,0))</f>
        <v>Sexta</v>
      </c>
      <c r="E26" s="6" t="str">
        <f>INDEX(disciplinaGrade!$A$3:$L$400,MATCH('Prof1-1234567'!A26,disciplinaGrade!$A$3:$A$400,0),MATCH(disciplinaGrade!$F$3,disciplinaGrade!$A$3:$L$3,0))</f>
        <v>Manha</v>
      </c>
      <c r="F26" s="6">
        <f>INDEX(disciplinaGrade!$A$3:$L$400,MATCH('Prof1-1234567'!A26,disciplinaGrade!$A$3:$A$400,0),MATCH(disciplinaGrade!$G$3,disciplinaGrade!$A$3:$L$3,0))</f>
        <v>0</v>
      </c>
      <c r="G26" s="6">
        <f>INDEX(disciplinaGrade!$A$3:$L$400,MATCH('Prof1-1234567'!A26,disciplinaGrade!$A$3:$A$400,0),MATCH(disciplinaGrade!$H$3,disciplinaGrade!$A$3:$L$3,0))</f>
        <v>0</v>
      </c>
      <c r="H26" s="6" t="str">
        <f>INDEX(disciplinaGrade!$A$3:$L$400,MATCH('Prof1-1234567'!A26,disciplinaGrade!$A$3:$A$400,0),MATCH(disciplinaGrade!$I$3,disciplinaGrade!$A$3:$L$3,0))</f>
        <v>X</v>
      </c>
      <c r="I26" s="6" t="str">
        <f>INDEX(disciplinaGrade!$A$3:$L$400,MATCH('Prof1-1234567'!A26,disciplinaGrade!$A$3:$A$400,0),MATCH(disciplinaGrade!$J$3,disciplinaGrade!$A$3:$L$3,0))</f>
        <v>X</v>
      </c>
      <c r="J26" s="6" t="str">
        <f>INDEX(disciplinaGrade!$A$3:$L$400,MATCH('Prof1-1234567'!A26,disciplinaGrade!$A$3:$A$400,0),MATCH(disciplinaGrade!$K$3,disciplinaGrade!$A$3:$L$3,0))</f>
        <v>X</v>
      </c>
      <c r="K26" s="6" t="str">
        <f>INDEX(disciplinaGrade!$A$3:$L$400,MATCH('Prof1-1234567'!A26,disciplinaGrade!$A$3:$A$400,0),MATCH(disciplinaGrade!$L$3,disciplinaGrade!$A$3:$L$3,0))</f>
        <v>X</v>
      </c>
    </row>
    <row r="27" spans="1:11" x14ac:dyDescent="0.25">
      <c r="A27" s="2">
        <v>0</v>
      </c>
      <c r="B27" s="6" t="e">
        <f>INDEX(disciplinaGrade!$A$3:$L$400,MATCH('Prof1-1234567'!A27,disciplinaGrade!$A$3:$A$400,0),MATCH(disciplinaGrade!$C$3,disciplinaGrade!$A$3:$L$3,0))</f>
        <v>#N/A</v>
      </c>
      <c r="C27" s="27" t="e">
        <f>INDEX(disciplinaGrade!$A$3:$L$400,MATCH('Prof1-1234567'!A27,disciplinaGrade!$A$3:$A$400,0),MATCH(disciplinaGrade!$D$3,disciplinaGrade!$A$3:$L$3,0))</f>
        <v>#N/A</v>
      </c>
      <c r="D27" s="6" t="e">
        <f>INDEX(disciplinaGrade!$A$3:$L$400,MATCH('Prof1-1234567'!A27,disciplinaGrade!$A$3:$A$400,0),MATCH(disciplinaGrade!$E$3,disciplinaGrade!$A$3:$L$3,0))</f>
        <v>#N/A</v>
      </c>
      <c r="E27" s="6" t="e">
        <f>INDEX(disciplinaGrade!$A$3:$L$400,MATCH('Prof1-1234567'!A27,disciplinaGrade!$A$3:$A$400,0),MATCH(disciplinaGrade!$F$3,disciplinaGrade!$A$3:$L$3,0))</f>
        <v>#N/A</v>
      </c>
      <c r="F27" s="6" t="e">
        <f>INDEX(disciplinaGrade!$A$3:$L$400,MATCH('Prof1-1234567'!A27,disciplinaGrade!$A$3:$A$400,0),MATCH(disciplinaGrade!$G$3,disciplinaGrade!$A$3:$L$3,0))</f>
        <v>#N/A</v>
      </c>
      <c r="G27" s="6" t="e">
        <f>INDEX(disciplinaGrade!$A$3:$L$400,MATCH('Prof1-1234567'!A27,disciplinaGrade!$A$3:$A$400,0),MATCH(disciplinaGrade!$H$3,disciplinaGrade!$A$3:$L$3,0))</f>
        <v>#N/A</v>
      </c>
      <c r="H27" s="6" t="e">
        <f>INDEX(disciplinaGrade!$A$3:$L$400,MATCH('Prof1-1234567'!A27,disciplinaGrade!$A$3:$A$400,0),MATCH(disciplinaGrade!$I$3,disciplinaGrade!$A$3:$L$3,0))</f>
        <v>#N/A</v>
      </c>
      <c r="I27" s="6" t="e">
        <f>INDEX(disciplinaGrade!$A$3:$L$400,MATCH('Prof1-1234567'!A27,disciplinaGrade!$A$3:$A$400,0),MATCH(disciplinaGrade!$J$3,disciplinaGrade!$A$3:$L$3,0))</f>
        <v>#N/A</v>
      </c>
      <c r="J27" s="6" t="e">
        <f>INDEX(disciplinaGrade!$A$3:$L$400,MATCH('Prof1-1234567'!A27,disciplinaGrade!$A$3:$A$400,0),MATCH(disciplinaGrade!$K$3,disciplinaGrade!$A$3:$L$3,0))</f>
        <v>#N/A</v>
      </c>
      <c r="K27" s="6" t="e">
        <f>INDEX(disciplinaGrade!$A$3:$L$400,MATCH('Prof1-1234567'!A27,disciplinaGrade!$A$3:$A$400,0),MATCH(disciplinaGrade!$L$3,disciplinaGrade!$A$3:$L$3,0))</f>
        <v>#N/A</v>
      </c>
    </row>
    <row r="28" spans="1:11" x14ac:dyDescent="0.25">
      <c r="A28" s="2">
        <v>0</v>
      </c>
      <c r="B28" s="6" t="e">
        <f>INDEX(disciplinaGrade!$A$3:$L$400,MATCH('Prof1-1234567'!A28,disciplinaGrade!$A$3:$A$400,0),MATCH(disciplinaGrade!$C$3,disciplinaGrade!$A$3:$L$3,0))</f>
        <v>#N/A</v>
      </c>
      <c r="C28" s="27" t="e">
        <f>INDEX(disciplinaGrade!$A$3:$L$400,MATCH('Prof1-1234567'!A28,disciplinaGrade!$A$3:$A$400,0),MATCH(disciplinaGrade!$D$3,disciplinaGrade!$A$3:$L$3,0))</f>
        <v>#N/A</v>
      </c>
      <c r="D28" s="6" t="e">
        <f>INDEX(disciplinaGrade!$A$3:$L$400,MATCH('Prof1-1234567'!A28,disciplinaGrade!$A$3:$A$400,0),MATCH(disciplinaGrade!$E$3,disciplinaGrade!$A$3:$L$3,0))</f>
        <v>#N/A</v>
      </c>
      <c r="E28" s="6" t="e">
        <f>INDEX(disciplinaGrade!$A$3:$L$400,MATCH('Prof1-1234567'!A28,disciplinaGrade!$A$3:$A$400,0),MATCH(disciplinaGrade!$F$3,disciplinaGrade!$A$3:$L$3,0))</f>
        <v>#N/A</v>
      </c>
      <c r="F28" s="6" t="e">
        <f>INDEX(disciplinaGrade!$A$3:$L$400,MATCH('Prof1-1234567'!A28,disciplinaGrade!$A$3:$A$400,0),MATCH(disciplinaGrade!$G$3,disciplinaGrade!$A$3:$L$3,0))</f>
        <v>#N/A</v>
      </c>
      <c r="G28" s="6" t="e">
        <f>INDEX(disciplinaGrade!$A$3:$L$400,MATCH('Prof1-1234567'!A28,disciplinaGrade!$A$3:$A$400,0),MATCH(disciplinaGrade!$H$3,disciplinaGrade!$A$3:$L$3,0))</f>
        <v>#N/A</v>
      </c>
      <c r="H28" s="6" t="e">
        <f>INDEX(disciplinaGrade!$A$3:$L$400,MATCH('Prof1-1234567'!A28,disciplinaGrade!$A$3:$A$400,0),MATCH(disciplinaGrade!$I$3,disciplinaGrade!$A$3:$L$3,0))</f>
        <v>#N/A</v>
      </c>
      <c r="I28" s="6" t="e">
        <f>INDEX(disciplinaGrade!$A$3:$L$400,MATCH('Prof1-1234567'!A28,disciplinaGrade!$A$3:$A$400,0),MATCH(disciplinaGrade!$J$3,disciplinaGrade!$A$3:$L$3,0))</f>
        <v>#N/A</v>
      </c>
      <c r="J28" s="6" t="e">
        <f>INDEX(disciplinaGrade!$A$3:$L$400,MATCH('Prof1-1234567'!A28,disciplinaGrade!$A$3:$A$400,0),MATCH(disciplinaGrade!$K$3,disciplinaGrade!$A$3:$L$3,0))</f>
        <v>#N/A</v>
      </c>
      <c r="K28" s="6" t="e">
        <f>INDEX(disciplinaGrade!$A$3:$L$400,MATCH('Prof1-1234567'!A28,disciplinaGrade!$A$3:$A$400,0),MATCH(disciplinaGrade!$L$3,disciplinaGrade!$A$3:$L$3,0))</f>
        <v>#N/A</v>
      </c>
    </row>
    <row r="29" spans="1:11" x14ac:dyDescent="0.25">
      <c r="A29" s="2">
        <v>0</v>
      </c>
      <c r="B29" s="6" t="e">
        <f>INDEX(disciplinaGrade!$A$3:$L$400,MATCH('Prof1-1234567'!A29,disciplinaGrade!$A$3:$A$400,0),MATCH(disciplinaGrade!$C$3,disciplinaGrade!$A$3:$L$3,0))</f>
        <v>#N/A</v>
      </c>
      <c r="C29" s="27" t="e">
        <f>INDEX(disciplinaGrade!$A$3:$L$400,MATCH('Prof1-1234567'!A29,disciplinaGrade!$A$3:$A$400,0),MATCH(disciplinaGrade!$D$3,disciplinaGrade!$A$3:$L$3,0))</f>
        <v>#N/A</v>
      </c>
      <c r="D29" s="6" t="e">
        <f>INDEX(disciplinaGrade!$A$3:$L$400,MATCH('Prof1-1234567'!A29,disciplinaGrade!$A$3:$A$400,0),MATCH(disciplinaGrade!$E$3,disciplinaGrade!$A$3:$L$3,0))</f>
        <v>#N/A</v>
      </c>
      <c r="E29" s="6" t="e">
        <f>INDEX(disciplinaGrade!$A$3:$L$400,MATCH('Prof1-1234567'!A29,disciplinaGrade!$A$3:$A$400,0),MATCH(disciplinaGrade!$F$3,disciplinaGrade!$A$3:$L$3,0))</f>
        <v>#N/A</v>
      </c>
      <c r="F29" s="6" t="e">
        <f>INDEX(disciplinaGrade!$A$3:$L$400,MATCH('Prof1-1234567'!A29,disciplinaGrade!$A$3:$A$400,0),MATCH(disciplinaGrade!$G$3,disciplinaGrade!$A$3:$L$3,0))</f>
        <v>#N/A</v>
      </c>
      <c r="G29" s="6" t="e">
        <f>INDEX(disciplinaGrade!$A$3:$L$400,MATCH('Prof1-1234567'!A29,disciplinaGrade!$A$3:$A$400,0),MATCH(disciplinaGrade!$H$3,disciplinaGrade!$A$3:$L$3,0))</f>
        <v>#N/A</v>
      </c>
      <c r="H29" s="6" t="e">
        <f>INDEX(disciplinaGrade!$A$3:$L$400,MATCH('Prof1-1234567'!A29,disciplinaGrade!$A$3:$A$400,0),MATCH(disciplinaGrade!$I$3,disciplinaGrade!$A$3:$L$3,0))</f>
        <v>#N/A</v>
      </c>
      <c r="I29" s="6" t="e">
        <f>INDEX(disciplinaGrade!$A$3:$L$400,MATCH('Prof1-1234567'!A29,disciplinaGrade!$A$3:$A$400,0),MATCH(disciplinaGrade!$J$3,disciplinaGrade!$A$3:$L$3,0))</f>
        <v>#N/A</v>
      </c>
      <c r="J29" s="6" t="e">
        <f>INDEX(disciplinaGrade!$A$3:$L$400,MATCH('Prof1-1234567'!A29,disciplinaGrade!$A$3:$A$400,0),MATCH(disciplinaGrade!$K$3,disciplinaGrade!$A$3:$L$3,0))</f>
        <v>#N/A</v>
      </c>
      <c r="K29" s="6" t="e">
        <f>INDEX(disciplinaGrade!$A$3:$L$400,MATCH('Prof1-1234567'!A29,disciplinaGrade!$A$3:$A$400,0),MATCH(disciplinaGrade!$L$3,disciplinaGrade!$A$3:$L$3,0))</f>
        <v>#N/A</v>
      </c>
    </row>
    <row r="30" spans="1:11" x14ac:dyDescent="0.25">
      <c r="A30" s="2">
        <v>0</v>
      </c>
      <c r="B30" s="6" t="e">
        <f>INDEX(disciplinaGrade!$A$3:$L$400,MATCH('Prof1-1234567'!A30,disciplinaGrade!$A$3:$A$400,0),MATCH(disciplinaGrade!$C$3,disciplinaGrade!$A$3:$L$3,0))</f>
        <v>#N/A</v>
      </c>
      <c r="C30" s="27" t="e">
        <f>INDEX(disciplinaGrade!$A$3:$L$400,MATCH('Prof1-1234567'!A30,disciplinaGrade!$A$3:$A$400,0),MATCH(disciplinaGrade!$D$3,disciplinaGrade!$A$3:$L$3,0))</f>
        <v>#N/A</v>
      </c>
      <c r="D30" s="6" t="e">
        <f>INDEX(disciplinaGrade!$A$3:$L$400,MATCH('Prof1-1234567'!A30,disciplinaGrade!$A$3:$A$400,0),MATCH(disciplinaGrade!$E$3,disciplinaGrade!$A$3:$L$3,0))</f>
        <v>#N/A</v>
      </c>
      <c r="E30" s="6" t="e">
        <f>INDEX(disciplinaGrade!$A$3:$L$400,MATCH('Prof1-1234567'!A30,disciplinaGrade!$A$3:$A$400,0),MATCH(disciplinaGrade!$F$3,disciplinaGrade!$A$3:$L$3,0))</f>
        <v>#N/A</v>
      </c>
      <c r="F30" s="6" t="e">
        <f>INDEX(disciplinaGrade!$A$3:$L$400,MATCH('Prof1-1234567'!A30,disciplinaGrade!$A$3:$A$400,0),MATCH(disciplinaGrade!$G$3,disciplinaGrade!$A$3:$L$3,0))</f>
        <v>#N/A</v>
      </c>
      <c r="G30" s="6" t="e">
        <f>INDEX(disciplinaGrade!$A$3:$L$400,MATCH('Prof1-1234567'!A30,disciplinaGrade!$A$3:$A$400,0),MATCH(disciplinaGrade!$H$3,disciplinaGrade!$A$3:$L$3,0))</f>
        <v>#N/A</v>
      </c>
      <c r="H30" s="6" t="e">
        <f>INDEX(disciplinaGrade!$A$3:$L$400,MATCH('Prof1-1234567'!A30,disciplinaGrade!$A$3:$A$400,0),MATCH(disciplinaGrade!$I$3,disciplinaGrade!$A$3:$L$3,0))</f>
        <v>#N/A</v>
      </c>
      <c r="I30" s="6" t="e">
        <f>INDEX(disciplinaGrade!$A$3:$L$400,MATCH('Prof1-1234567'!A30,disciplinaGrade!$A$3:$A$400,0),MATCH(disciplinaGrade!$J$3,disciplinaGrade!$A$3:$L$3,0))</f>
        <v>#N/A</v>
      </c>
      <c r="J30" s="6" t="e">
        <f>INDEX(disciplinaGrade!$A$3:$L$400,MATCH('Prof1-1234567'!A30,disciplinaGrade!$A$3:$A$400,0),MATCH(disciplinaGrade!$K$3,disciplinaGrade!$A$3:$L$3,0))</f>
        <v>#N/A</v>
      </c>
      <c r="K30" s="6" t="e">
        <f>INDEX(disciplinaGrade!$A$3:$L$400,MATCH('Prof1-1234567'!A30,disciplinaGrade!$A$3:$A$400,0),MATCH(disciplinaGrade!$L$3,disciplinaGrade!$A$3:$L$3,0))</f>
        <v>#N/A</v>
      </c>
    </row>
    <row r="31" spans="1:11" x14ac:dyDescent="0.25">
      <c r="A31" s="2">
        <v>0</v>
      </c>
      <c r="B31" s="6" t="e">
        <f>INDEX(disciplinaGrade!$A$3:$L$400,MATCH('Prof1-1234567'!A31,disciplinaGrade!$A$3:$A$400,0),MATCH(disciplinaGrade!$C$3,disciplinaGrade!$A$3:$L$3,0))</f>
        <v>#N/A</v>
      </c>
      <c r="C31" s="27" t="e">
        <f>INDEX(disciplinaGrade!$A$3:$L$400,MATCH('Prof1-1234567'!A31,disciplinaGrade!$A$3:$A$400,0),MATCH(disciplinaGrade!$D$3,disciplinaGrade!$A$3:$L$3,0))</f>
        <v>#N/A</v>
      </c>
      <c r="D31" s="6" t="e">
        <f>INDEX(disciplinaGrade!$A$3:$L$400,MATCH('Prof1-1234567'!A31,disciplinaGrade!$A$3:$A$400,0),MATCH(disciplinaGrade!$E$3,disciplinaGrade!$A$3:$L$3,0))</f>
        <v>#N/A</v>
      </c>
      <c r="E31" s="6" t="e">
        <f>INDEX(disciplinaGrade!$A$3:$L$400,MATCH('Prof1-1234567'!A31,disciplinaGrade!$A$3:$A$400,0),MATCH(disciplinaGrade!$F$3,disciplinaGrade!$A$3:$L$3,0))</f>
        <v>#N/A</v>
      </c>
      <c r="F31" s="6" t="e">
        <f>INDEX(disciplinaGrade!$A$3:$L$400,MATCH('Prof1-1234567'!A31,disciplinaGrade!$A$3:$A$400,0),MATCH(disciplinaGrade!$G$3,disciplinaGrade!$A$3:$L$3,0))</f>
        <v>#N/A</v>
      </c>
      <c r="G31" s="6" t="e">
        <f>INDEX(disciplinaGrade!$A$3:$L$400,MATCH('Prof1-1234567'!A31,disciplinaGrade!$A$3:$A$400,0),MATCH(disciplinaGrade!$H$3,disciplinaGrade!$A$3:$L$3,0))</f>
        <v>#N/A</v>
      </c>
      <c r="H31" s="6" t="e">
        <f>INDEX(disciplinaGrade!$A$3:$L$400,MATCH('Prof1-1234567'!A31,disciplinaGrade!$A$3:$A$400,0),MATCH(disciplinaGrade!$I$3,disciplinaGrade!$A$3:$L$3,0))</f>
        <v>#N/A</v>
      </c>
      <c r="I31" s="6" t="e">
        <f>INDEX(disciplinaGrade!$A$3:$L$400,MATCH('Prof1-1234567'!A31,disciplinaGrade!$A$3:$A$400,0),MATCH(disciplinaGrade!$J$3,disciplinaGrade!$A$3:$L$3,0))</f>
        <v>#N/A</v>
      </c>
      <c r="J31" s="6" t="e">
        <f>INDEX(disciplinaGrade!$A$3:$L$400,MATCH('Prof1-1234567'!A31,disciplinaGrade!$A$3:$A$400,0),MATCH(disciplinaGrade!$K$3,disciplinaGrade!$A$3:$L$3,0))</f>
        <v>#N/A</v>
      </c>
      <c r="K31" s="6" t="e">
        <f>INDEX(disciplinaGrade!$A$3:$L$400,MATCH('Prof1-1234567'!A31,disciplinaGrade!$A$3:$A$400,0),MATCH(disciplinaGrade!$L$3,disciplinaGrade!$A$3:$L$3,0))</f>
        <v>#N/A</v>
      </c>
    </row>
    <row r="32" spans="1:11" x14ac:dyDescent="0.25">
      <c r="A32" s="2">
        <v>0</v>
      </c>
      <c r="B32" s="6" t="e">
        <f>INDEX(disciplinaGrade!$A$3:$L$400,MATCH('Prof1-1234567'!A32,disciplinaGrade!$A$3:$A$400,0),MATCH(disciplinaGrade!$C$3,disciplinaGrade!$A$3:$L$3,0))</f>
        <v>#N/A</v>
      </c>
      <c r="C32" s="27" t="e">
        <f>INDEX(disciplinaGrade!$A$3:$L$400,MATCH('Prof1-1234567'!A32,disciplinaGrade!$A$3:$A$400,0),MATCH(disciplinaGrade!$D$3,disciplinaGrade!$A$3:$L$3,0))</f>
        <v>#N/A</v>
      </c>
      <c r="D32" s="6" t="e">
        <f>INDEX(disciplinaGrade!$A$3:$L$400,MATCH('Prof1-1234567'!A32,disciplinaGrade!$A$3:$A$400,0),MATCH(disciplinaGrade!$E$3,disciplinaGrade!$A$3:$L$3,0))</f>
        <v>#N/A</v>
      </c>
      <c r="E32" s="6" t="e">
        <f>INDEX(disciplinaGrade!$A$3:$L$400,MATCH('Prof1-1234567'!A32,disciplinaGrade!$A$3:$A$400,0),MATCH(disciplinaGrade!$F$3,disciplinaGrade!$A$3:$L$3,0))</f>
        <v>#N/A</v>
      </c>
      <c r="F32" s="6" t="e">
        <f>INDEX(disciplinaGrade!$A$3:$L$400,MATCH('Prof1-1234567'!A32,disciplinaGrade!$A$3:$A$400,0),MATCH(disciplinaGrade!$G$3,disciplinaGrade!$A$3:$L$3,0))</f>
        <v>#N/A</v>
      </c>
      <c r="G32" s="6" t="e">
        <f>INDEX(disciplinaGrade!$A$3:$L$400,MATCH('Prof1-1234567'!A32,disciplinaGrade!$A$3:$A$400,0),MATCH(disciplinaGrade!$H$3,disciplinaGrade!$A$3:$L$3,0))</f>
        <v>#N/A</v>
      </c>
      <c r="H32" s="6" t="e">
        <f>INDEX(disciplinaGrade!$A$3:$L$400,MATCH('Prof1-1234567'!A32,disciplinaGrade!$A$3:$A$400,0),MATCH(disciplinaGrade!$I$3,disciplinaGrade!$A$3:$L$3,0))</f>
        <v>#N/A</v>
      </c>
      <c r="I32" s="6" t="e">
        <f>INDEX(disciplinaGrade!$A$3:$L$400,MATCH('Prof1-1234567'!A32,disciplinaGrade!$A$3:$A$400,0),MATCH(disciplinaGrade!$J$3,disciplinaGrade!$A$3:$L$3,0))</f>
        <v>#N/A</v>
      </c>
      <c r="J32" s="6" t="e">
        <f>INDEX(disciplinaGrade!$A$3:$L$400,MATCH('Prof1-1234567'!A32,disciplinaGrade!$A$3:$A$400,0),MATCH(disciplinaGrade!$K$3,disciplinaGrade!$A$3:$L$3,0))</f>
        <v>#N/A</v>
      </c>
      <c r="K32" s="6" t="e">
        <f>INDEX(disciplinaGrade!$A$3:$L$400,MATCH('Prof1-1234567'!A32,disciplinaGrade!$A$3:$A$400,0),MATCH(disciplinaGrade!$L$3,disciplinaGrade!$A$3:$L$3,0))</f>
        <v>#N/A</v>
      </c>
    </row>
    <row r="33" spans="1:11" x14ac:dyDescent="0.25">
      <c r="A33" s="2">
        <v>0</v>
      </c>
      <c r="B33" s="6" t="e">
        <f>INDEX(disciplinaGrade!$A$3:$L$400,MATCH('Prof1-1234567'!A33,disciplinaGrade!$A$3:$A$400,0),MATCH(disciplinaGrade!$C$3,disciplinaGrade!$A$3:$L$3,0))</f>
        <v>#N/A</v>
      </c>
      <c r="C33" s="27" t="e">
        <f>INDEX(disciplinaGrade!$A$3:$L$400,MATCH('Prof1-1234567'!A33,disciplinaGrade!$A$3:$A$400,0),MATCH(disciplinaGrade!$D$3,disciplinaGrade!$A$3:$L$3,0))</f>
        <v>#N/A</v>
      </c>
      <c r="D33" s="6" t="e">
        <f>INDEX(disciplinaGrade!$A$3:$L$400,MATCH('Prof1-1234567'!A33,disciplinaGrade!$A$3:$A$400,0),MATCH(disciplinaGrade!$E$3,disciplinaGrade!$A$3:$L$3,0))</f>
        <v>#N/A</v>
      </c>
      <c r="E33" s="6" t="e">
        <f>INDEX(disciplinaGrade!$A$3:$L$400,MATCH('Prof1-1234567'!A33,disciplinaGrade!$A$3:$A$400,0),MATCH(disciplinaGrade!$F$3,disciplinaGrade!$A$3:$L$3,0))</f>
        <v>#N/A</v>
      </c>
      <c r="F33" s="6" t="e">
        <f>INDEX(disciplinaGrade!$A$3:$L$400,MATCH('Prof1-1234567'!A33,disciplinaGrade!$A$3:$A$400,0),MATCH(disciplinaGrade!$G$3,disciplinaGrade!$A$3:$L$3,0))</f>
        <v>#N/A</v>
      </c>
      <c r="G33" s="6" t="e">
        <f>INDEX(disciplinaGrade!$A$3:$L$400,MATCH('Prof1-1234567'!A33,disciplinaGrade!$A$3:$A$400,0),MATCH(disciplinaGrade!$H$3,disciplinaGrade!$A$3:$L$3,0))</f>
        <v>#N/A</v>
      </c>
      <c r="H33" s="6" t="e">
        <f>INDEX(disciplinaGrade!$A$3:$L$400,MATCH('Prof1-1234567'!A33,disciplinaGrade!$A$3:$A$400,0),MATCH(disciplinaGrade!$I$3,disciplinaGrade!$A$3:$L$3,0))</f>
        <v>#N/A</v>
      </c>
      <c r="I33" s="6" t="e">
        <f>INDEX(disciplinaGrade!$A$3:$L$400,MATCH('Prof1-1234567'!A33,disciplinaGrade!$A$3:$A$400,0),MATCH(disciplinaGrade!$J$3,disciplinaGrade!$A$3:$L$3,0))</f>
        <v>#N/A</v>
      </c>
      <c r="J33" s="6" t="e">
        <f>INDEX(disciplinaGrade!$A$3:$L$400,MATCH('Prof1-1234567'!A33,disciplinaGrade!$A$3:$A$400,0),MATCH(disciplinaGrade!$K$3,disciplinaGrade!$A$3:$L$3,0))</f>
        <v>#N/A</v>
      </c>
      <c r="K33" s="6" t="e">
        <f>INDEX(disciplinaGrade!$A$3:$L$400,MATCH('Prof1-1234567'!A33,disciplinaGrade!$A$3:$A$400,0),MATCH(disciplinaGrade!$L$3,disciplinaGrade!$A$3:$L$3,0))</f>
        <v>#N/A</v>
      </c>
    </row>
    <row r="34" spans="1:11" x14ac:dyDescent="0.25">
      <c r="A34" s="2">
        <v>0</v>
      </c>
      <c r="B34" s="6" t="e">
        <f>INDEX(disciplinaGrade!$A$3:$L$400,MATCH('Prof1-1234567'!A34,disciplinaGrade!$A$3:$A$400,0),MATCH(disciplinaGrade!$C$3,disciplinaGrade!$A$3:$L$3,0))</f>
        <v>#N/A</v>
      </c>
      <c r="C34" s="27" t="e">
        <f>INDEX(disciplinaGrade!$A$3:$L$400,MATCH('Prof1-1234567'!A34,disciplinaGrade!$A$3:$A$400,0),MATCH(disciplinaGrade!$D$3,disciplinaGrade!$A$3:$L$3,0))</f>
        <v>#N/A</v>
      </c>
      <c r="D34" s="6" t="e">
        <f>INDEX(disciplinaGrade!$A$3:$L$400,MATCH('Prof1-1234567'!A34,disciplinaGrade!$A$3:$A$400,0),MATCH(disciplinaGrade!$E$3,disciplinaGrade!$A$3:$L$3,0))</f>
        <v>#N/A</v>
      </c>
      <c r="E34" s="6" t="e">
        <f>INDEX(disciplinaGrade!$A$3:$L$400,MATCH('Prof1-1234567'!A34,disciplinaGrade!$A$3:$A$400,0),MATCH(disciplinaGrade!$F$3,disciplinaGrade!$A$3:$L$3,0))</f>
        <v>#N/A</v>
      </c>
      <c r="F34" s="6" t="e">
        <f>INDEX(disciplinaGrade!$A$3:$L$400,MATCH('Prof1-1234567'!A34,disciplinaGrade!$A$3:$A$400,0),MATCH(disciplinaGrade!$G$3,disciplinaGrade!$A$3:$L$3,0))</f>
        <v>#N/A</v>
      </c>
      <c r="G34" s="6" t="e">
        <f>INDEX(disciplinaGrade!$A$3:$L$400,MATCH('Prof1-1234567'!A34,disciplinaGrade!$A$3:$A$400,0),MATCH(disciplinaGrade!$H$3,disciplinaGrade!$A$3:$L$3,0))</f>
        <v>#N/A</v>
      </c>
      <c r="H34" s="6" t="e">
        <f>INDEX(disciplinaGrade!$A$3:$L$400,MATCH('Prof1-1234567'!A34,disciplinaGrade!$A$3:$A$400,0),MATCH(disciplinaGrade!$I$3,disciplinaGrade!$A$3:$L$3,0))</f>
        <v>#N/A</v>
      </c>
      <c r="I34" s="6" t="e">
        <f>INDEX(disciplinaGrade!$A$3:$L$400,MATCH('Prof1-1234567'!A34,disciplinaGrade!$A$3:$A$400,0),MATCH(disciplinaGrade!$J$3,disciplinaGrade!$A$3:$L$3,0))</f>
        <v>#N/A</v>
      </c>
      <c r="J34" s="6" t="e">
        <f>INDEX(disciplinaGrade!$A$3:$L$400,MATCH('Prof1-1234567'!A34,disciplinaGrade!$A$3:$A$400,0),MATCH(disciplinaGrade!$K$3,disciplinaGrade!$A$3:$L$3,0))</f>
        <v>#N/A</v>
      </c>
      <c r="K34" s="6" t="e">
        <f>INDEX(disciplinaGrade!$A$3:$L$400,MATCH('Prof1-1234567'!A34,disciplinaGrade!$A$3:$A$400,0),MATCH(disciplinaGrade!$L$3,disciplinaGrade!$A$3:$L$3,0))</f>
        <v>#N/A</v>
      </c>
    </row>
    <row r="35" spans="1:11" x14ac:dyDescent="0.25">
      <c r="A35" s="2">
        <v>0</v>
      </c>
      <c r="B35" s="6" t="e">
        <f>INDEX(disciplinaGrade!$A$3:$L$400,MATCH('Prof1-1234567'!A35,disciplinaGrade!$A$3:$A$400,0),MATCH(disciplinaGrade!$C$3,disciplinaGrade!$A$3:$L$3,0))</f>
        <v>#N/A</v>
      </c>
      <c r="C35" s="27" t="e">
        <f>INDEX(disciplinaGrade!$A$3:$L$400,MATCH('Prof1-1234567'!A35,disciplinaGrade!$A$3:$A$400,0),MATCH(disciplinaGrade!$D$3,disciplinaGrade!$A$3:$L$3,0))</f>
        <v>#N/A</v>
      </c>
      <c r="D35" s="6" t="e">
        <f>INDEX(disciplinaGrade!$A$3:$L$400,MATCH('Prof1-1234567'!A35,disciplinaGrade!$A$3:$A$400,0),MATCH(disciplinaGrade!$E$3,disciplinaGrade!$A$3:$L$3,0))</f>
        <v>#N/A</v>
      </c>
      <c r="E35" s="6" t="e">
        <f>INDEX(disciplinaGrade!$A$3:$L$400,MATCH('Prof1-1234567'!A35,disciplinaGrade!$A$3:$A$400,0),MATCH(disciplinaGrade!$F$3,disciplinaGrade!$A$3:$L$3,0))</f>
        <v>#N/A</v>
      </c>
      <c r="F35" s="6" t="e">
        <f>INDEX(disciplinaGrade!$A$3:$L$400,MATCH('Prof1-1234567'!A35,disciplinaGrade!$A$3:$A$400,0),MATCH(disciplinaGrade!$G$3,disciplinaGrade!$A$3:$L$3,0))</f>
        <v>#N/A</v>
      </c>
      <c r="G35" s="6" t="e">
        <f>INDEX(disciplinaGrade!$A$3:$L$400,MATCH('Prof1-1234567'!A35,disciplinaGrade!$A$3:$A$400,0),MATCH(disciplinaGrade!$H$3,disciplinaGrade!$A$3:$L$3,0))</f>
        <v>#N/A</v>
      </c>
      <c r="H35" s="6" t="e">
        <f>INDEX(disciplinaGrade!$A$3:$L$400,MATCH('Prof1-1234567'!A35,disciplinaGrade!$A$3:$A$400,0),MATCH(disciplinaGrade!$I$3,disciplinaGrade!$A$3:$L$3,0))</f>
        <v>#N/A</v>
      </c>
      <c r="I35" s="6" t="e">
        <f>INDEX(disciplinaGrade!$A$3:$L$400,MATCH('Prof1-1234567'!A35,disciplinaGrade!$A$3:$A$400,0),MATCH(disciplinaGrade!$J$3,disciplinaGrade!$A$3:$L$3,0))</f>
        <v>#N/A</v>
      </c>
      <c r="J35" s="6" t="e">
        <f>INDEX(disciplinaGrade!$A$3:$L$400,MATCH('Prof1-1234567'!A35,disciplinaGrade!$A$3:$A$400,0),MATCH(disciplinaGrade!$K$3,disciplinaGrade!$A$3:$L$3,0))</f>
        <v>#N/A</v>
      </c>
      <c r="K35" s="6" t="e">
        <f>INDEX(disciplinaGrade!$A$3:$L$400,MATCH('Prof1-1234567'!A35,disciplinaGrade!$A$3:$A$400,0),MATCH(disciplinaGrade!$L$3,disciplinaGrade!$A$3:$L$3,0))</f>
        <v>#N/A</v>
      </c>
    </row>
    <row r="36" spans="1:11" x14ac:dyDescent="0.25">
      <c r="A36" s="2">
        <v>0</v>
      </c>
      <c r="B36" s="6" t="e">
        <f>INDEX(disciplinaGrade!$A$3:$L$400,MATCH('Prof1-1234567'!A36,disciplinaGrade!$A$3:$A$400,0),MATCH(disciplinaGrade!$C$3,disciplinaGrade!$A$3:$L$3,0))</f>
        <v>#N/A</v>
      </c>
      <c r="C36" s="27" t="e">
        <f>INDEX(disciplinaGrade!$A$3:$L$400,MATCH('Prof1-1234567'!A36,disciplinaGrade!$A$3:$A$400,0),MATCH(disciplinaGrade!$D$3,disciplinaGrade!$A$3:$L$3,0))</f>
        <v>#N/A</v>
      </c>
      <c r="D36" s="6" t="e">
        <f>INDEX(disciplinaGrade!$A$3:$L$400,MATCH('Prof1-1234567'!A36,disciplinaGrade!$A$3:$A$400,0),MATCH(disciplinaGrade!$E$3,disciplinaGrade!$A$3:$L$3,0))</f>
        <v>#N/A</v>
      </c>
      <c r="E36" s="6" t="e">
        <f>INDEX(disciplinaGrade!$A$3:$L$400,MATCH('Prof1-1234567'!A36,disciplinaGrade!$A$3:$A$400,0),MATCH(disciplinaGrade!$F$3,disciplinaGrade!$A$3:$L$3,0))</f>
        <v>#N/A</v>
      </c>
      <c r="F36" s="6" t="e">
        <f>INDEX(disciplinaGrade!$A$3:$L$400,MATCH('Prof1-1234567'!A36,disciplinaGrade!$A$3:$A$400,0),MATCH(disciplinaGrade!$G$3,disciplinaGrade!$A$3:$L$3,0))</f>
        <v>#N/A</v>
      </c>
      <c r="G36" s="6" t="e">
        <f>INDEX(disciplinaGrade!$A$3:$L$400,MATCH('Prof1-1234567'!A36,disciplinaGrade!$A$3:$A$400,0),MATCH(disciplinaGrade!$H$3,disciplinaGrade!$A$3:$L$3,0))</f>
        <v>#N/A</v>
      </c>
      <c r="H36" s="6" t="e">
        <f>INDEX(disciplinaGrade!$A$3:$L$400,MATCH('Prof1-1234567'!A36,disciplinaGrade!$A$3:$A$400,0),MATCH(disciplinaGrade!$I$3,disciplinaGrade!$A$3:$L$3,0))</f>
        <v>#N/A</v>
      </c>
      <c r="I36" s="6" t="e">
        <f>INDEX(disciplinaGrade!$A$3:$L$400,MATCH('Prof1-1234567'!A36,disciplinaGrade!$A$3:$A$400,0),MATCH(disciplinaGrade!$J$3,disciplinaGrade!$A$3:$L$3,0))</f>
        <v>#N/A</v>
      </c>
      <c r="J36" s="6" t="e">
        <f>INDEX(disciplinaGrade!$A$3:$L$400,MATCH('Prof1-1234567'!A36,disciplinaGrade!$A$3:$A$400,0),MATCH(disciplinaGrade!$K$3,disciplinaGrade!$A$3:$L$3,0))</f>
        <v>#N/A</v>
      </c>
      <c r="K36" s="6" t="e">
        <f>INDEX(disciplinaGrade!$A$3:$L$400,MATCH('Prof1-1234567'!A36,disciplinaGrade!$A$3:$A$400,0),MATCH(disciplinaGrade!$L$3,disciplinaGrade!$A$3:$L$3,0))</f>
        <v>#N/A</v>
      </c>
    </row>
    <row r="37" spans="1:11" x14ac:dyDescent="0.25">
      <c r="A37" s="2">
        <v>0</v>
      </c>
      <c r="B37" s="6" t="e">
        <f>INDEX(disciplinaGrade!$A$3:$L$400,MATCH('Prof1-1234567'!A37,disciplinaGrade!$A$3:$A$400,0),MATCH(disciplinaGrade!$C$3,disciplinaGrade!$A$3:$L$3,0))</f>
        <v>#N/A</v>
      </c>
      <c r="C37" s="27" t="e">
        <f>INDEX(disciplinaGrade!$A$3:$L$400,MATCH('Prof1-1234567'!A37,disciplinaGrade!$A$3:$A$400,0),MATCH(disciplinaGrade!$D$3,disciplinaGrade!$A$3:$L$3,0))</f>
        <v>#N/A</v>
      </c>
      <c r="D37" s="6" t="e">
        <f>INDEX(disciplinaGrade!$A$3:$L$400,MATCH('Prof1-1234567'!A37,disciplinaGrade!$A$3:$A$400,0),MATCH(disciplinaGrade!$E$3,disciplinaGrade!$A$3:$L$3,0))</f>
        <v>#N/A</v>
      </c>
      <c r="E37" s="6" t="e">
        <f>INDEX(disciplinaGrade!$A$3:$L$400,MATCH('Prof1-1234567'!A37,disciplinaGrade!$A$3:$A$400,0),MATCH(disciplinaGrade!$F$3,disciplinaGrade!$A$3:$L$3,0))</f>
        <v>#N/A</v>
      </c>
      <c r="F37" s="6" t="e">
        <f>INDEX(disciplinaGrade!$A$3:$L$400,MATCH('Prof1-1234567'!A37,disciplinaGrade!$A$3:$A$400,0),MATCH(disciplinaGrade!$G$3,disciplinaGrade!$A$3:$L$3,0))</f>
        <v>#N/A</v>
      </c>
      <c r="G37" s="6" t="e">
        <f>INDEX(disciplinaGrade!$A$3:$L$400,MATCH('Prof1-1234567'!A37,disciplinaGrade!$A$3:$A$400,0),MATCH(disciplinaGrade!$H$3,disciplinaGrade!$A$3:$L$3,0))</f>
        <v>#N/A</v>
      </c>
      <c r="H37" s="6" t="e">
        <f>INDEX(disciplinaGrade!$A$3:$L$400,MATCH('Prof1-1234567'!A37,disciplinaGrade!$A$3:$A$400,0),MATCH(disciplinaGrade!$I$3,disciplinaGrade!$A$3:$L$3,0))</f>
        <v>#N/A</v>
      </c>
      <c r="I37" s="6" t="e">
        <f>INDEX(disciplinaGrade!$A$3:$L$400,MATCH('Prof1-1234567'!A37,disciplinaGrade!$A$3:$A$400,0),MATCH(disciplinaGrade!$J$3,disciplinaGrade!$A$3:$L$3,0))</f>
        <v>#N/A</v>
      </c>
      <c r="J37" s="6" t="e">
        <f>INDEX(disciplinaGrade!$A$3:$L$400,MATCH('Prof1-1234567'!A37,disciplinaGrade!$A$3:$A$400,0),MATCH(disciplinaGrade!$K$3,disciplinaGrade!$A$3:$L$3,0))</f>
        <v>#N/A</v>
      </c>
      <c r="K37" s="6" t="e">
        <f>INDEX(disciplinaGrade!$A$3:$L$400,MATCH('Prof1-1234567'!A37,disciplinaGrade!$A$3:$A$400,0),MATCH(disciplinaGrade!$L$3,disciplinaGrade!$A$3:$L$3,0))</f>
        <v>#N/A</v>
      </c>
    </row>
    <row r="38" spans="1:11" x14ac:dyDescent="0.25">
      <c r="A38" s="2">
        <v>0</v>
      </c>
      <c r="B38" s="6" t="e">
        <f>INDEX(disciplinaGrade!$A$3:$L$400,MATCH('Prof1-1234567'!A38,disciplinaGrade!$A$3:$A$400,0),MATCH(disciplinaGrade!$C$3,disciplinaGrade!$A$3:$L$3,0))</f>
        <v>#N/A</v>
      </c>
      <c r="C38" s="27" t="e">
        <f>INDEX(disciplinaGrade!$A$3:$L$400,MATCH('Prof1-1234567'!A38,disciplinaGrade!$A$3:$A$400,0),MATCH(disciplinaGrade!$D$3,disciplinaGrade!$A$3:$L$3,0))</f>
        <v>#N/A</v>
      </c>
      <c r="D38" s="6" t="e">
        <f>INDEX(disciplinaGrade!$A$3:$L$400,MATCH('Prof1-1234567'!A38,disciplinaGrade!$A$3:$A$400,0),MATCH(disciplinaGrade!$E$3,disciplinaGrade!$A$3:$L$3,0))</f>
        <v>#N/A</v>
      </c>
      <c r="E38" s="6" t="e">
        <f>INDEX(disciplinaGrade!$A$3:$L$400,MATCH('Prof1-1234567'!A38,disciplinaGrade!$A$3:$A$400,0),MATCH(disciplinaGrade!$F$3,disciplinaGrade!$A$3:$L$3,0))</f>
        <v>#N/A</v>
      </c>
      <c r="F38" s="6" t="e">
        <f>INDEX(disciplinaGrade!$A$3:$L$400,MATCH('Prof1-1234567'!A38,disciplinaGrade!$A$3:$A$400,0),MATCH(disciplinaGrade!$G$3,disciplinaGrade!$A$3:$L$3,0))</f>
        <v>#N/A</v>
      </c>
      <c r="G38" s="6" t="e">
        <f>INDEX(disciplinaGrade!$A$3:$L$400,MATCH('Prof1-1234567'!A38,disciplinaGrade!$A$3:$A$400,0),MATCH(disciplinaGrade!$H$3,disciplinaGrade!$A$3:$L$3,0))</f>
        <v>#N/A</v>
      </c>
      <c r="H38" s="6" t="e">
        <f>INDEX(disciplinaGrade!$A$3:$L$400,MATCH('Prof1-1234567'!A38,disciplinaGrade!$A$3:$A$400,0),MATCH(disciplinaGrade!$I$3,disciplinaGrade!$A$3:$L$3,0))</f>
        <v>#N/A</v>
      </c>
      <c r="I38" s="6" t="e">
        <f>INDEX(disciplinaGrade!$A$3:$L$400,MATCH('Prof1-1234567'!A38,disciplinaGrade!$A$3:$A$400,0),MATCH(disciplinaGrade!$J$3,disciplinaGrade!$A$3:$L$3,0))</f>
        <v>#N/A</v>
      </c>
      <c r="J38" s="6" t="e">
        <f>INDEX(disciplinaGrade!$A$3:$L$400,MATCH('Prof1-1234567'!A38,disciplinaGrade!$A$3:$A$400,0),MATCH(disciplinaGrade!$K$3,disciplinaGrade!$A$3:$L$3,0))</f>
        <v>#N/A</v>
      </c>
      <c r="K38" s="6" t="e">
        <f>INDEX(disciplinaGrade!$A$3:$L$400,MATCH('Prof1-1234567'!A38,disciplinaGrade!$A$3:$A$400,0),MATCH(disciplinaGrade!$L$3,disciplinaGrade!$A$3:$L$3,0))</f>
        <v>#N/A</v>
      </c>
    </row>
    <row r="39" spans="1:11" x14ac:dyDescent="0.25">
      <c r="A39" s="2">
        <v>0</v>
      </c>
      <c r="B39" s="6" t="e">
        <f>INDEX(disciplinaGrade!$A$3:$L$400,MATCH('Prof1-1234567'!A39,disciplinaGrade!$A$3:$A$400,0),MATCH(disciplinaGrade!$C$3,disciplinaGrade!$A$3:$L$3,0))</f>
        <v>#N/A</v>
      </c>
      <c r="C39" s="27" t="e">
        <f>INDEX(disciplinaGrade!$A$3:$L$400,MATCH('Prof1-1234567'!A39,disciplinaGrade!$A$3:$A$400,0),MATCH(disciplinaGrade!$D$3,disciplinaGrade!$A$3:$L$3,0))</f>
        <v>#N/A</v>
      </c>
      <c r="D39" s="6" t="e">
        <f>INDEX(disciplinaGrade!$A$3:$L$400,MATCH('Prof1-1234567'!A39,disciplinaGrade!$A$3:$A$400,0),MATCH(disciplinaGrade!$E$3,disciplinaGrade!$A$3:$L$3,0))</f>
        <v>#N/A</v>
      </c>
      <c r="E39" s="6" t="e">
        <f>INDEX(disciplinaGrade!$A$3:$L$400,MATCH('Prof1-1234567'!A39,disciplinaGrade!$A$3:$A$400,0),MATCH(disciplinaGrade!$F$3,disciplinaGrade!$A$3:$L$3,0))</f>
        <v>#N/A</v>
      </c>
      <c r="F39" s="6" t="e">
        <f>INDEX(disciplinaGrade!$A$3:$L$400,MATCH('Prof1-1234567'!A39,disciplinaGrade!$A$3:$A$400,0),MATCH(disciplinaGrade!$G$3,disciplinaGrade!$A$3:$L$3,0))</f>
        <v>#N/A</v>
      </c>
      <c r="G39" s="6" t="e">
        <f>INDEX(disciplinaGrade!$A$3:$L$400,MATCH('Prof1-1234567'!A39,disciplinaGrade!$A$3:$A$400,0),MATCH(disciplinaGrade!$H$3,disciplinaGrade!$A$3:$L$3,0))</f>
        <v>#N/A</v>
      </c>
      <c r="H39" s="6" t="e">
        <f>INDEX(disciplinaGrade!$A$3:$L$400,MATCH('Prof1-1234567'!A39,disciplinaGrade!$A$3:$A$400,0),MATCH(disciplinaGrade!$I$3,disciplinaGrade!$A$3:$L$3,0))</f>
        <v>#N/A</v>
      </c>
      <c r="I39" s="6" t="e">
        <f>INDEX(disciplinaGrade!$A$3:$L$400,MATCH('Prof1-1234567'!A39,disciplinaGrade!$A$3:$A$400,0),MATCH(disciplinaGrade!$J$3,disciplinaGrade!$A$3:$L$3,0))</f>
        <v>#N/A</v>
      </c>
      <c r="J39" s="6" t="e">
        <f>INDEX(disciplinaGrade!$A$3:$L$400,MATCH('Prof1-1234567'!A39,disciplinaGrade!$A$3:$A$400,0),MATCH(disciplinaGrade!$K$3,disciplinaGrade!$A$3:$L$3,0))</f>
        <v>#N/A</v>
      </c>
      <c r="K39" s="6" t="e">
        <f>INDEX(disciplinaGrade!$A$3:$L$400,MATCH('Prof1-1234567'!A39,disciplinaGrade!$A$3:$A$400,0),MATCH(disciplinaGrade!$L$3,disciplinaGrade!$A$3:$L$3,0))</f>
        <v>#N/A</v>
      </c>
    </row>
    <row r="40" spans="1:11" x14ac:dyDescent="0.25">
      <c r="A40" s="2">
        <v>0</v>
      </c>
      <c r="B40" s="6" t="e">
        <f>INDEX(disciplinaGrade!$A$3:$L$400,MATCH('Prof1-1234567'!A40,disciplinaGrade!$A$3:$A$400,0),MATCH(disciplinaGrade!$C$3,disciplinaGrade!$A$3:$L$3,0))</f>
        <v>#N/A</v>
      </c>
      <c r="C40" s="27" t="e">
        <f>INDEX(disciplinaGrade!$A$3:$L$400,MATCH('Prof1-1234567'!A40,disciplinaGrade!$A$3:$A$400,0),MATCH(disciplinaGrade!$D$3,disciplinaGrade!$A$3:$L$3,0))</f>
        <v>#N/A</v>
      </c>
      <c r="D40" s="6" t="e">
        <f>INDEX(disciplinaGrade!$A$3:$L$400,MATCH('Prof1-1234567'!A40,disciplinaGrade!$A$3:$A$400,0),MATCH(disciplinaGrade!$E$3,disciplinaGrade!$A$3:$L$3,0))</f>
        <v>#N/A</v>
      </c>
      <c r="E40" s="6" t="e">
        <f>INDEX(disciplinaGrade!$A$3:$L$400,MATCH('Prof1-1234567'!A40,disciplinaGrade!$A$3:$A$400,0),MATCH(disciplinaGrade!$F$3,disciplinaGrade!$A$3:$L$3,0))</f>
        <v>#N/A</v>
      </c>
      <c r="F40" s="6" t="e">
        <f>INDEX(disciplinaGrade!$A$3:$L$400,MATCH('Prof1-1234567'!A40,disciplinaGrade!$A$3:$A$400,0),MATCH(disciplinaGrade!$G$3,disciplinaGrade!$A$3:$L$3,0))</f>
        <v>#N/A</v>
      </c>
      <c r="G40" s="6" t="e">
        <f>INDEX(disciplinaGrade!$A$3:$L$400,MATCH('Prof1-1234567'!A40,disciplinaGrade!$A$3:$A$400,0),MATCH(disciplinaGrade!$H$3,disciplinaGrade!$A$3:$L$3,0))</f>
        <v>#N/A</v>
      </c>
      <c r="H40" s="6" t="e">
        <f>INDEX(disciplinaGrade!$A$3:$L$400,MATCH('Prof1-1234567'!A40,disciplinaGrade!$A$3:$A$400,0),MATCH(disciplinaGrade!$I$3,disciplinaGrade!$A$3:$L$3,0))</f>
        <v>#N/A</v>
      </c>
      <c r="I40" s="6" t="e">
        <f>INDEX(disciplinaGrade!$A$3:$L$400,MATCH('Prof1-1234567'!A40,disciplinaGrade!$A$3:$A$400,0),MATCH(disciplinaGrade!$J$3,disciplinaGrade!$A$3:$L$3,0))</f>
        <v>#N/A</v>
      </c>
      <c r="J40" s="6" t="e">
        <f>INDEX(disciplinaGrade!$A$3:$L$400,MATCH('Prof1-1234567'!A40,disciplinaGrade!$A$3:$A$400,0),MATCH(disciplinaGrade!$K$3,disciplinaGrade!$A$3:$L$3,0))</f>
        <v>#N/A</v>
      </c>
      <c r="K40" s="6" t="e">
        <f>INDEX(disciplinaGrade!$A$3:$L$400,MATCH('Prof1-1234567'!A40,disciplinaGrade!$A$3:$A$400,0),MATCH(disciplinaGrade!$L$3,disciplinaGrade!$A$3:$L$3,0))</f>
        <v>#N/A</v>
      </c>
    </row>
    <row r="41" spans="1:11" x14ac:dyDescent="0.25">
      <c r="A41" s="2">
        <v>0</v>
      </c>
      <c r="B41" s="6" t="e">
        <f>INDEX(disciplinaGrade!$A$3:$L$400,MATCH('Prof1-1234567'!A41,disciplinaGrade!$A$3:$A$400,0),MATCH(disciplinaGrade!$C$3,disciplinaGrade!$A$3:$L$3,0))</f>
        <v>#N/A</v>
      </c>
      <c r="C41" s="27" t="e">
        <f>INDEX(disciplinaGrade!$A$3:$L$400,MATCH('Prof1-1234567'!A41,disciplinaGrade!$A$3:$A$400,0),MATCH(disciplinaGrade!$D$3,disciplinaGrade!$A$3:$L$3,0))</f>
        <v>#N/A</v>
      </c>
      <c r="D41" s="6" t="e">
        <f>INDEX(disciplinaGrade!$A$3:$L$400,MATCH('Prof1-1234567'!A41,disciplinaGrade!$A$3:$A$400,0),MATCH(disciplinaGrade!$E$3,disciplinaGrade!$A$3:$L$3,0))</f>
        <v>#N/A</v>
      </c>
      <c r="E41" s="6" t="e">
        <f>INDEX(disciplinaGrade!$A$3:$L$400,MATCH('Prof1-1234567'!A41,disciplinaGrade!$A$3:$A$400,0),MATCH(disciplinaGrade!$F$3,disciplinaGrade!$A$3:$L$3,0))</f>
        <v>#N/A</v>
      </c>
      <c r="F41" s="6" t="e">
        <f>INDEX(disciplinaGrade!$A$3:$L$400,MATCH('Prof1-1234567'!A41,disciplinaGrade!$A$3:$A$400,0),MATCH(disciplinaGrade!$G$3,disciplinaGrade!$A$3:$L$3,0))</f>
        <v>#N/A</v>
      </c>
      <c r="G41" s="6" t="e">
        <f>INDEX(disciplinaGrade!$A$3:$L$400,MATCH('Prof1-1234567'!A41,disciplinaGrade!$A$3:$A$400,0),MATCH(disciplinaGrade!$H$3,disciplinaGrade!$A$3:$L$3,0))</f>
        <v>#N/A</v>
      </c>
      <c r="H41" s="6" t="e">
        <f>INDEX(disciplinaGrade!$A$3:$L$400,MATCH('Prof1-1234567'!A41,disciplinaGrade!$A$3:$A$400,0),MATCH(disciplinaGrade!$I$3,disciplinaGrade!$A$3:$L$3,0))</f>
        <v>#N/A</v>
      </c>
      <c r="I41" s="6" t="e">
        <f>INDEX(disciplinaGrade!$A$3:$L$400,MATCH('Prof1-1234567'!A41,disciplinaGrade!$A$3:$A$400,0),MATCH(disciplinaGrade!$J$3,disciplinaGrade!$A$3:$L$3,0))</f>
        <v>#N/A</v>
      </c>
      <c r="J41" s="6" t="e">
        <f>INDEX(disciplinaGrade!$A$3:$L$400,MATCH('Prof1-1234567'!A41,disciplinaGrade!$A$3:$A$400,0),MATCH(disciplinaGrade!$K$3,disciplinaGrade!$A$3:$L$3,0))</f>
        <v>#N/A</v>
      </c>
      <c r="K41" s="6" t="e">
        <f>INDEX(disciplinaGrade!$A$3:$L$400,MATCH('Prof1-1234567'!A41,disciplinaGrade!$A$3:$A$400,0),MATCH(disciplinaGrade!$L$3,disciplinaGrade!$A$3:$L$3,0))</f>
        <v>#N/A</v>
      </c>
    </row>
    <row r="42" spans="1:11" x14ac:dyDescent="0.25">
      <c r="A42" s="2">
        <v>0</v>
      </c>
      <c r="B42" s="6" t="e">
        <f>INDEX(disciplinaGrade!$A$3:$L$400,MATCH('Prof1-1234567'!A42,disciplinaGrade!$A$3:$A$400,0),MATCH(disciplinaGrade!$C$3,disciplinaGrade!$A$3:$L$3,0))</f>
        <v>#N/A</v>
      </c>
      <c r="C42" s="27" t="e">
        <f>INDEX(disciplinaGrade!$A$3:$L$400,MATCH('Prof1-1234567'!A42,disciplinaGrade!$A$3:$A$400,0),MATCH(disciplinaGrade!$D$3,disciplinaGrade!$A$3:$L$3,0))</f>
        <v>#N/A</v>
      </c>
      <c r="D42" s="6" t="e">
        <f>INDEX(disciplinaGrade!$A$3:$L$400,MATCH('Prof1-1234567'!A42,disciplinaGrade!$A$3:$A$400,0),MATCH(disciplinaGrade!$E$3,disciplinaGrade!$A$3:$L$3,0))</f>
        <v>#N/A</v>
      </c>
      <c r="E42" s="6" t="e">
        <f>INDEX(disciplinaGrade!$A$3:$L$400,MATCH('Prof1-1234567'!A42,disciplinaGrade!$A$3:$A$400,0),MATCH(disciplinaGrade!$F$3,disciplinaGrade!$A$3:$L$3,0))</f>
        <v>#N/A</v>
      </c>
      <c r="F42" s="6" t="e">
        <f>INDEX(disciplinaGrade!$A$3:$L$400,MATCH('Prof1-1234567'!A42,disciplinaGrade!$A$3:$A$400,0),MATCH(disciplinaGrade!$G$3,disciplinaGrade!$A$3:$L$3,0))</f>
        <v>#N/A</v>
      </c>
      <c r="G42" s="6" t="e">
        <f>INDEX(disciplinaGrade!$A$3:$L$400,MATCH('Prof1-1234567'!A42,disciplinaGrade!$A$3:$A$400,0),MATCH(disciplinaGrade!$H$3,disciplinaGrade!$A$3:$L$3,0))</f>
        <v>#N/A</v>
      </c>
      <c r="H42" s="6" t="e">
        <f>INDEX(disciplinaGrade!$A$3:$L$400,MATCH('Prof1-1234567'!A42,disciplinaGrade!$A$3:$A$400,0),MATCH(disciplinaGrade!$I$3,disciplinaGrade!$A$3:$L$3,0))</f>
        <v>#N/A</v>
      </c>
      <c r="I42" s="6" t="e">
        <f>INDEX(disciplinaGrade!$A$3:$L$400,MATCH('Prof1-1234567'!A42,disciplinaGrade!$A$3:$A$400,0),MATCH(disciplinaGrade!$J$3,disciplinaGrade!$A$3:$L$3,0))</f>
        <v>#N/A</v>
      </c>
      <c r="J42" s="6" t="e">
        <f>INDEX(disciplinaGrade!$A$3:$L$400,MATCH('Prof1-1234567'!A42,disciplinaGrade!$A$3:$A$400,0),MATCH(disciplinaGrade!$K$3,disciplinaGrade!$A$3:$L$3,0))</f>
        <v>#N/A</v>
      </c>
      <c r="K42" s="6" t="e">
        <f>INDEX(disciplinaGrade!$A$3:$L$400,MATCH('Prof1-1234567'!A42,disciplinaGrade!$A$3:$A$400,0),MATCH(disciplinaGrade!$L$3,disciplinaGrade!$A$3:$L$3,0))</f>
        <v>#N/A</v>
      </c>
    </row>
    <row r="43" spans="1:11" x14ac:dyDescent="0.25">
      <c r="A43" s="2">
        <v>0</v>
      </c>
      <c r="B43" s="6" t="e">
        <f>INDEX(disciplinaGrade!$A$3:$L$400,MATCH('Prof1-1234567'!A43,disciplinaGrade!$A$3:$A$400,0),MATCH(disciplinaGrade!$C$3,disciplinaGrade!$A$3:$L$3,0))</f>
        <v>#N/A</v>
      </c>
      <c r="C43" s="27" t="e">
        <f>INDEX(disciplinaGrade!$A$3:$L$400,MATCH('Prof1-1234567'!A43,disciplinaGrade!$A$3:$A$400,0),MATCH(disciplinaGrade!$D$3,disciplinaGrade!$A$3:$L$3,0))</f>
        <v>#N/A</v>
      </c>
      <c r="D43" s="6" t="e">
        <f>INDEX(disciplinaGrade!$A$3:$L$400,MATCH('Prof1-1234567'!A43,disciplinaGrade!$A$3:$A$400,0),MATCH(disciplinaGrade!$E$3,disciplinaGrade!$A$3:$L$3,0))</f>
        <v>#N/A</v>
      </c>
      <c r="E43" s="6" t="e">
        <f>INDEX(disciplinaGrade!$A$3:$L$400,MATCH('Prof1-1234567'!A43,disciplinaGrade!$A$3:$A$400,0),MATCH(disciplinaGrade!$F$3,disciplinaGrade!$A$3:$L$3,0))</f>
        <v>#N/A</v>
      </c>
      <c r="F43" s="6" t="e">
        <f>INDEX(disciplinaGrade!$A$3:$L$400,MATCH('Prof1-1234567'!A43,disciplinaGrade!$A$3:$A$400,0),MATCH(disciplinaGrade!$G$3,disciplinaGrade!$A$3:$L$3,0))</f>
        <v>#N/A</v>
      </c>
      <c r="G43" s="6" t="e">
        <f>INDEX(disciplinaGrade!$A$3:$L$400,MATCH('Prof1-1234567'!A43,disciplinaGrade!$A$3:$A$400,0),MATCH(disciplinaGrade!$H$3,disciplinaGrade!$A$3:$L$3,0))</f>
        <v>#N/A</v>
      </c>
      <c r="H43" s="6" t="e">
        <f>INDEX(disciplinaGrade!$A$3:$L$400,MATCH('Prof1-1234567'!A43,disciplinaGrade!$A$3:$A$400,0),MATCH(disciplinaGrade!$I$3,disciplinaGrade!$A$3:$L$3,0))</f>
        <v>#N/A</v>
      </c>
      <c r="I43" s="6" t="e">
        <f>INDEX(disciplinaGrade!$A$3:$L$400,MATCH('Prof1-1234567'!A43,disciplinaGrade!$A$3:$A$400,0),MATCH(disciplinaGrade!$J$3,disciplinaGrade!$A$3:$L$3,0))</f>
        <v>#N/A</v>
      </c>
      <c r="J43" s="6" t="e">
        <f>INDEX(disciplinaGrade!$A$3:$L$400,MATCH('Prof1-1234567'!A43,disciplinaGrade!$A$3:$A$400,0),MATCH(disciplinaGrade!$K$3,disciplinaGrade!$A$3:$L$3,0))</f>
        <v>#N/A</v>
      </c>
      <c r="K43" s="6" t="e">
        <f>INDEX(disciplinaGrade!$A$3:$L$400,MATCH('Prof1-1234567'!A43,disciplinaGrade!$A$3:$A$400,0),MATCH(disciplinaGrade!$L$3,disciplinaGrade!$A$3:$L$3,0))</f>
        <v>#N/A</v>
      </c>
    </row>
    <row r="44" spans="1:11" x14ac:dyDescent="0.25">
      <c r="A44" s="2">
        <v>0</v>
      </c>
      <c r="B44" s="6" t="e">
        <f>INDEX(disciplinaGrade!$A$3:$L$400,MATCH('Prof1-1234567'!A44,disciplinaGrade!$A$3:$A$400,0),MATCH(disciplinaGrade!$C$3,disciplinaGrade!$A$3:$L$3,0))</f>
        <v>#N/A</v>
      </c>
      <c r="C44" s="27" t="e">
        <f>INDEX(disciplinaGrade!$A$3:$L$400,MATCH('Prof1-1234567'!A44,disciplinaGrade!$A$3:$A$400,0),MATCH(disciplinaGrade!$D$3,disciplinaGrade!$A$3:$L$3,0))</f>
        <v>#N/A</v>
      </c>
      <c r="D44" s="6" t="e">
        <f>INDEX(disciplinaGrade!$A$3:$L$400,MATCH('Prof1-1234567'!A44,disciplinaGrade!$A$3:$A$400,0),MATCH(disciplinaGrade!$E$3,disciplinaGrade!$A$3:$L$3,0))</f>
        <v>#N/A</v>
      </c>
      <c r="E44" s="6" t="e">
        <f>INDEX(disciplinaGrade!$A$3:$L$400,MATCH('Prof1-1234567'!A44,disciplinaGrade!$A$3:$A$400,0),MATCH(disciplinaGrade!$F$3,disciplinaGrade!$A$3:$L$3,0))</f>
        <v>#N/A</v>
      </c>
      <c r="F44" s="6" t="e">
        <f>INDEX(disciplinaGrade!$A$3:$L$400,MATCH('Prof1-1234567'!A44,disciplinaGrade!$A$3:$A$400,0),MATCH(disciplinaGrade!$G$3,disciplinaGrade!$A$3:$L$3,0))</f>
        <v>#N/A</v>
      </c>
      <c r="G44" s="6" t="e">
        <f>INDEX(disciplinaGrade!$A$3:$L$400,MATCH('Prof1-1234567'!A44,disciplinaGrade!$A$3:$A$400,0),MATCH(disciplinaGrade!$H$3,disciplinaGrade!$A$3:$L$3,0))</f>
        <v>#N/A</v>
      </c>
      <c r="H44" s="6" t="e">
        <f>INDEX(disciplinaGrade!$A$3:$L$400,MATCH('Prof1-1234567'!A44,disciplinaGrade!$A$3:$A$400,0),MATCH(disciplinaGrade!$I$3,disciplinaGrade!$A$3:$L$3,0))</f>
        <v>#N/A</v>
      </c>
      <c r="I44" s="6" t="e">
        <f>INDEX(disciplinaGrade!$A$3:$L$400,MATCH('Prof1-1234567'!A44,disciplinaGrade!$A$3:$A$400,0),MATCH(disciplinaGrade!$J$3,disciplinaGrade!$A$3:$L$3,0))</f>
        <v>#N/A</v>
      </c>
      <c r="J44" s="6" t="e">
        <f>INDEX(disciplinaGrade!$A$3:$L$400,MATCH('Prof1-1234567'!A44,disciplinaGrade!$A$3:$A$400,0),MATCH(disciplinaGrade!$K$3,disciplinaGrade!$A$3:$L$3,0))</f>
        <v>#N/A</v>
      </c>
      <c r="K44" s="6" t="e">
        <f>INDEX(disciplinaGrade!$A$3:$L$400,MATCH('Prof1-1234567'!A44,disciplinaGrade!$A$3:$A$400,0),MATCH(disciplinaGrade!$L$3,disciplinaGrade!$A$3:$L$3,0))</f>
        <v>#N/A</v>
      </c>
    </row>
    <row r="45" spans="1:11" x14ac:dyDescent="0.25">
      <c r="A45" s="2">
        <v>0</v>
      </c>
      <c r="B45" s="6" t="e">
        <f>INDEX(disciplinaGrade!$A$3:$L$400,MATCH('Prof1-1234567'!A45,disciplinaGrade!$A$3:$A$400,0),MATCH(disciplinaGrade!$C$3,disciplinaGrade!$A$3:$L$3,0))</f>
        <v>#N/A</v>
      </c>
      <c r="C45" s="27" t="e">
        <f>INDEX(disciplinaGrade!$A$3:$L$400,MATCH('Prof1-1234567'!A45,disciplinaGrade!$A$3:$A$400,0),MATCH(disciplinaGrade!$D$3,disciplinaGrade!$A$3:$L$3,0))</f>
        <v>#N/A</v>
      </c>
      <c r="D45" s="6" t="e">
        <f>INDEX(disciplinaGrade!$A$3:$L$400,MATCH('Prof1-1234567'!A45,disciplinaGrade!$A$3:$A$400,0),MATCH(disciplinaGrade!$E$3,disciplinaGrade!$A$3:$L$3,0))</f>
        <v>#N/A</v>
      </c>
      <c r="E45" s="6" t="e">
        <f>INDEX(disciplinaGrade!$A$3:$L$400,MATCH('Prof1-1234567'!A45,disciplinaGrade!$A$3:$A$400,0),MATCH(disciplinaGrade!$F$3,disciplinaGrade!$A$3:$L$3,0))</f>
        <v>#N/A</v>
      </c>
      <c r="F45" s="6" t="e">
        <f>INDEX(disciplinaGrade!$A$3:$L$400,MATCH('Prof1-1234567'!A45,disciplinaGrade!$A$3:$A$400,0),MATCH(disciplinaGrade!$G$3,disciplinaGrade!$A$3:$L$3,0))</f>
        <v>#N/A</v>
      </c>
      <c r="G45" s="6" t="e">
        <f>INDEX(disciplinaGrade!$A$3:$L$400,MATCH('Prof1-1234567'!A45,disciplinaGrade!$A$3:$A$400,0),MATCH(disciplinaGrade!$H$3,disciplinaGrade!$A$3:$L$3,0))</f>
        <v>#N/A</v>
      </c>
      <c r="H45" s="6" t="e">
        <f>INDEX(disciplinaGrade!$A$3:$L$400,MATCH('Prof1-1234567'!A45,disciplinaGrade!$A$3:$A$400,0),MATCH(disciplinaGrade!$I$3,disciplinaGrade!$A$3:$L$3,0))</f>
        <v>#N/A</v>
      </c>
      <c r="I45" s="6" t="e">
        <f>INDEX(disciplinaGrade!$A$3:$L$400,MATCH('Prof1-1234567'!A45,disciplinaGrade!$A$3:$A$400,0),MATCH(disciplinaGrade!$J$3,disciplinaGrade!$A$3:$L$3,0))</f>
        <v>#N/A</v>
      </c>
      <c r="J45" s="6" t="e">
        <f>INDEX(disciplinaGrade!$A$3:$L$400,MATCH('Prof1-1234567'!A45,disciplinaGrade!$A$3:$A$400,0),MATCH(disciplinaGrade!$K$3,disciplinaGrade!$A$3:$L$3,0))</f>
        <v>#N/A</v>
      </c>
      <c r="K45" s="6" t="e">
        <f>INDEX(disciplinaGrade!$A$3:$L$400,MATCH('Prof1-1234567'!A45,disciplinaGrade!$A$3:$A$400,0),MATCH(disciplinaGrade!$L$3,disciplinaGrade!$A$3:$L$3,0))</f>
        <v>#N/A</v>
      </c>
    </row>
    <row r="46" spans="1:11" x14ac:dyDescent="0.25">
      <c r="A46" s="2">
        <v>0</v>
      </c>
      <c r="B46" s="6" t="e">
        <f>INDEX(disciplinaGrade!$A$3:$L$400,MATCH('Prof1-1234567'!A46,disciplinaGrade!$A$3:$A$400,0),MATCH(disciplinaGrade!$C$3,disciplinaGrade!$A$3:$L$3,0))</f>
        <v>#N/A</v>
      </c>
      <c r="C46" s="27" t="e">
        <f>INDEX(disciplinaGrade!$A$3:$L$400,MATCH('Prof1-1234567'!A46,disciplinaGrade!$A$3:$A$400,0),MATCH(disciplinaGrade!$D$3,disciplinaGrade!$A$3:$L$3,0))</f>
        <v>#N/A</v>
      </c>
      <c r="D46" s="6" t="e">
        <f>INDEX(disciplinaGrade!$A$3:$L$400,MATCH('Prof1-1234567'!A46,disciplinaGrade!$A$3:$A$400,0),MATCH(disciplinaGrade!$E$3,disciplinaGrade!$A$3:$L$3,0))</f>
        <v>#N/A</v>
      </c>
      <c r="E46" s="6" t="e">
        <f>INDEX(disciplinaGrade!$A$3:$L$400,MATCH('Prof1-1234567'!A46,disciplinaGrade!$A$3:$A$400,0),MATCH(disciplinaGrade!$F$3,disciplinaGrade!$A$3:$L$3,0))</f>
        <v>#N/A</v>
      </c>
      <c r="F46" s="6" t="e">
        <f>INDEX(disciplinaGrade!$A$3:$L$400,MATCH('Prof1-1234567'!A46,disciplinaGrade!$A$3:$A$400,0),MATCH(disciplinaGrade!$G$3,disciplinaGrade!$A$3:$L$3,0))</f>
        <v>#N/A</v>
      </c>
      <c r="G46" s="6" t="e">
        <f>INDEX(disciplinaGrade!$A$3:$L$400,MATCH('Prof1-1234567'!A46,disciplinaGrade!$A$3:$A$400,0),MATCH(disciplinaGrade!$H$3,disciplinaGrade!$A$3:$L$3,0))</f>
        <v>#N/A</v>
      </c>
      <c r="H46" s="6" t="e">
        <f>INDEX(disciplinaGrade!$A$3:$L$400,MATCH('Prof1-1234567'!A46,disciplinaGrade!$A$3:$A$400,0),MATCH(disciplinaGrade!$I$3,disciplinaGrade!$A$3:$L$3,0))</f>
        <v>#N/A</v>
      </c>
      <c r="I46" s="6" t="e">
        <f>INDEX(disciplinaGrade!$A$3:$L$400,MATCH('Prof1-1234567'!A46,disciplinaGrade!$A$3:$A$400,0),MATCH(disciplinaGrade!$J$3,disciplinaGrade!$A$3:$L$3,0))</f>
        <v>#N/A</v>
      </c>
      <c r="J46" s="6" t="e">
        <f>INDEX(disciplinaGrade!$A$3:$L$400,MATCH('Prof1-1234567'!A46,disciplinaGrade!$A$3:$A$400,0),MATCH(disciplinaGrade!$K$3,disciplinaGrade!$A$3:$L$3,0))</f>
        <v>#N/A</v>
      </c>
      <c r="K46" s="6" t="e">
        <f>INDEX(disciplinaGrade!$A$3:$L$400,MATCH('Prof1-1234567'!A46,disciplinaGrade!$A$3:$A$400,0),MATCH(disciplinaGrade!$L$3,disciplinaGrade!$A$3:$L$3,0))</f>
        <v>#N/A</v>
      </c>
    </row>
    <row r="47" spans="1:11" x14ac:dyDescent="0.25">
      <c r="A47" s="2">
        <v>0</v>
      </c>
      <c r="B47" s="6" t="e">
        <f>INDEX(disciplinaGrade!$A$3:$L$400,MATCH('Prof1-1234567'!A47,disciplinaGrade!$A$3:$A$400,0),MATCH(disciplinaGrade!$C$3,disciplinaGrade!$A$3:$L$3,0))</f>
        <v>#N/A</v>
      </c>
      <c r="C47" s="27" t="e">
        <f>INDEX(disciplinaGrade!$A$3:$L$400,MATCH('Prof1-1234567'!A47,disciplinaGrade!$A$3:$A$400,0),MATCH(disciplinaGrade!$D$3,disciplinaGrade!$A$3:$L$3,0))</f>
        <v>#N/A</v>
      </c>
      <c r="D47" s="6" t="e">
        <f>INDEX(disciplinaGrade!$A$3:$L$400,MATCH('Prof1-1234567'!A47,disciplinaGrade!$A$3:$A$400,0),MATCH(disciplinaGrade!$E$3,disciplinaGrade!$A$3:$L$3,0))</f>
        <v>#N/A</v>
      </c>
      <c r="E47" s="6" t="e">
        <f>INDEX(disciplinaGrade!$A$3:$L$400,MATCH('Prof1-1234567'!A47,disciplinaGrade!$A$3:$A$400,0),MATCH(disciplinaGrade!$F$3,disciplinaGrade!$A$3:$L$3,0))</f>
        <v>#N/A</v>
      </c>
      <c r="F47" s="6" t="e">
        <f>INDEX(disciplinaGrade!$A$3:$L$400,MATCH('Prof1-1234567'!A47,disciplinaGrade!$A$3:$A$400,0),MATCH(disciplinaGrade!$G$3,disciplinaGrade!$A$3:$L$3,0))</f>
        <v>#N/A</v>
      </c>
      <c r="G47" s="6" t="e">
        <f>INDEX(disciplinaGrade!$A$3:$L$400,MATCH('Prof1-1234567'!A47,disciplinaGrade!$A$3:$A$400,0),MATCH(disciplinaGrade!$H$3,disciplinaGrade!$A$3:$L$3,0))</f>
        <v>#N/A</v>
      </c>
      <c r="H47" s="6" t="e">
        <f>INDEX(disciplinaGrade!$A$3:$L$400,MATCH('Prof1-1234567'!A47,disciplinaGrade!$A$3:$A$400,0),MATCH(disciplinaGrade!$I$3,disciplinaGrade!$A$3:$L$3,0))</f>
        <v>#N/A</v>
      </c>
      <c r="I47" s="6" t="e">
        <f>INDEX(disciplinaGrade!$A$3:$L$400,MATCH('Prof1-1234567'!A47,disciplinaGrade!$A$3:$A$400,0),MATCH(disciplinaGrade!$J$3,disciplinaGrade!$A$3:$L$3,0))</f>
        <v>#N/A</v>
      </c>
      <c r="J47" s="6" t="e">
        <f>INDEX(disciplinaGrade!$A$3:$L$400,MATCH('Prof1-1234567'!A47,disciplinaGrade!$A$3:$A$400,0),MATCH(disciplinaGrade!$K$3,disciplinaGrade!$A$3:$L$3,0))</f>
        <v>#N/A</v>
      </c>
      <c r="K47" s="6" t="e">
        <f>INDEX(disciplinaGrade!$A$3:$L$400,MATCH('Prof1-1234567'!A47,disciplinaGrade!$A$3:$A$400,0),MATCH(disciplinaGrade!$L$3,disciplinaGrade!$A$3:$L$3,0))</f>
        <v>#N/A</v>
      </c>
    </row>
    <row r="48" spans="1:11" x14ac:dyDescent="0.25">
      <c r="A48" s="2">
        <v>0</v>
      </c>
      <c r="B48" s="6" t="e">
        <f>INDEX(disciplinaGrade!$A$3:$L$400,MATCH('Prof1-1234567'!A48,disciplinaGrade!$A$3:$A$400,0),MATCH(disciplinaGrade!$C$3,disciplinaGrade!$A$3:$L$3,0))</f>
        <v>#N/A</v>
      </c>
      <c r="C48" s="27" t="e">
        <f>INDEX(disciplinaGrade!$A$3:$L$400,MATCH('Prof1-1234567'!A48,disciplinaGrade!$A$3:$A$400,0),MATCH(disciplinaGrade!$D$3,disciplinaGrade!$A$3:$L$3,0))</f>
        <v>#N/A</v>
      </c>
      <c r="D48" s="6" t="e">
        <f>INDEX(disciplinaGrade!$A$3:$L$400,MATCH('Prof1-1234567'!A48,disciplinaGrade!$A$3:$A$400,0),MATCH(disciplinaGrade!$E$3,disciplinaGrade!$A$3:$L$3,0))</f>
        <v>#N/A</v>
      </c>
      <c r="E48" s="6" t="e">
        <f>INDEX(disciplinaGrade!$A$3:$L$400,MATCH('Prof1-1234567'!A48,disciplinaGrade!$A$3:$A$400,0),MATCH(disciplinaGrade!$F$3,disciplinaGrade!$A$3:$L$3,0))</f>
        <v>#N/A</v>
      </c>
      <c r="F48" s="6" t="e">
        <f>INDEX(disciplinaGrade!$A$3:$L$400,MATCH('Prof1-1234567'!A48,disciplinaGrade!$A$3:$A$400,0),MATCH(disciplinaGrade!$G$3,disciplinaGrade!$A$3:$L$3,0))</f>
        <v>#N/A</v>
      </c>
      <c r="G48" s="6" t="e">
        <f>INDEX(disciplinaGrade!$A$3:$L$400,MATCH('Prof1-1234567'!A48,disciplinaGrade!$A$3:$A$400,0),MATCH(disciplinaGrade!$H$3,disciplinaGrade!$A$3:$L$3,0))</f>
        <v>#N/A</v>
      </c>
      <c r="H48" s="6" t="e">
        <f>INDEX(disciplinaGrade!$A$3:$L$400,MATCH('Prof1-1234567'!A48,disciplinaGrade!$A$3:$A$400,0),MATCH(disciplinaGrade!$I$3,disciplinaGrade!$A$3:$L$3,0))</f>
        <v>#N/A</v>
      </c>
      <c r="I48" s="6" t="e">
        <f>INDEX(disciplinaGrade!$A$3:$L$400,MATCH('Prof1-1234567'!A48,disciplinaGrade!$A$3:$A$400,0),MATCH(disciplinaGrade!$J$3,disciplinaGrade!$A$3:$L$3,0))</f>
        <v>#N/A</v>
      </c>
      <c r="J48" s="6" t="e">
        <f>INDEX(disciplinaGrade!$A$3:$L$400,MATCH('Prof1-1234567'!A48,disciplinaGrade!$A$3:$A$400,0),MATCH(disciplinaGrade!$K$3,disciplinaGrade!$A$3:$L$3,0))</f>
        <v>#N/A</v>
      </c>
      <c r="K48" s="6" t="e">
        <f>INDEX(disciplinaGrade!$A$3:$L$400,MATCH('Prof1-1234567'!A48,disciplinaGrade!$A$3:$A$400,0),MATCH(disciplinaGrade!$L$3,disciplinaGrade!$A$3:$L$3,0))</f>
        <v>#N/A</v>
      </c>
    </row>
    <row r="49" spans="1:11" x14ac:dyDescent="0.25">
      <c r="A49" s="2">
        <v>0</v>
      </c>
      <c r="B49" s="6" t="e">
        <f>INDEX(disciplinaGrade!$A$3:$L$400,MATCH('Prof1-1234567'!A49,disciplinaGrade!$A$3:$A$400,0),MATCH(disciplinaGrade!$C$3,disciplinaGrade!$A$3:$L$3,0))</f>
        <v>#N/A</v>
      </c>
      <c r="C49" s="27" t="e">
        <f>INDEX(disciplinaGrade!$A$3:$L$400,MATCH('Prof1-1234567'!A49,disciplinaGrade!$A$3:$A$400,0),MATCH(disciplinaGrade!$D$3,disciplinaGrade!$A$3:$L$3,0))</f>
        <v>#N/A</v>
      </c>
      <c r="D49" s="6" t="e">
        <f>INDEX(disciplinaGrade!$A$3:$L$400,MATCH('Prof1-1234567'!A49,disciplinaGrade!$A$3:$A$400,0),MATCH(disciplinaGrade!$E$3,disciplinaGrade!$A$3:$L$3,0))</f>
        <v>#N/A</v>
      </c>
      <c r="E49" s="6" t="e">
        <f>INDEX(disciplinaGrade!$A$3:$L$400,MATCH('Prof1-1234567'!A49,disciplinaGrade!$A$3:$A$400,0),MATCH(disciplinaGrade!$F$3,disciplinaGrade!$A$3:$L$3,0))</f>
        <v>#N/A</v>
      </c>
      <c r="F49" s="6" t="e">
        <f>INDEX(disciplinaGrade!$A$3:$L$400,MATCH('Prof1-1234567'!A49,disciplinaGrade!$A$3:$A$400,0),MATCH(disciplinaGrade!$G$3,disciplinaGrade!$A$3:$L$3,0))</f>
        <v>#N/A</v>
      </c>
      <c r="G49" s="6" t="e">
        <f>INDEX(disciplinaGrade!$A$3:$L$400,MATCH('Prof1-1234567'!A49,disciplinaGrade!$A$3:$A$400,0),MATCH(disciplinaGrade!$H$3,disciplinaGrade!$A$3:$L$3,0))</f>
        <v>#N/A</v>
      </c>
      <c r="H49" s="6" t="e">
        <f>INDEX(disciplinaGrade!$A$3:$L$400,MATCH('Prof1-1234567'!A49,disciplinaGrade!$A$3:$A$400,0),MATCH(disciplinaGrade!$I$3,disciplinaGrade!$A$3:$L$3,0))</f>
        <v>#N/A</v>
      </c>
      <c r="I49" s="6" t="e">
        <f>INDEX(disciplinaGrade!$A$3:$L$400,MATCH('Prof1-1234567'!A49,disciplinaGrade!$A$3:$A$400,0),MATCH(disciplinaGrade!$J$3,disciplinaGrade!$A$3:$L$3,0))</f>
        <v>#N/A</v>
      </c>
      <c r="J49" s="6" t="e">
        <f>INDEX(disciplinaGrade!$A$3:$L$400,MATCH('Prof1-1234567'!A49,disciplinaGrade!$A$3:$A$400,0),MATCH(disciplinaGrade!$K$3,disciplinaGrade!$A$3:$L$3,0))</f>
        <v>#N/A</v>
      </c>
      <c r="K49" s="6" t="e">
        <f>INDEX(disciplinaGrade!$A$3:$L$400,MATCH('Prof1-1234567'!A49,disciplinaGrade!$A$3:$A$400,0),MATCH(disciplinaGrade!$L$3,disciplinaGrade!$A$3:$L$3,0))</f>
        <v>#N/A</v>
      </c>
    </row>
    <row r="50" spans="1:11" x14ac:dyDescent="0.25">
      <c r="A50" s="2">
        <v>0</v>
      </c>
      <c r="B50" s="6" t="e">
        <f>INDEX(disciplinaGrade!$A$3:$L$400,MATCH('Prof1-1234567'!A50,disciplinaGrade!$A$3:$A$400,0),MATCH(disciplinaGrade!$C$3,disciplinaGrade!$A$3:$L$3,0))</f>
        <v>#N/A</v>
      </c>
      <c r="C50" s="27" t="e">
        <f>INDEX(disciplinaGrade!$A$3:$L$400,MATCH('Prof1-1234567'!A50,disciplinaGrade!$A$3:$A$400,0),MATCH(disciplinaGrade!$D$3,disciplinaGrade!$A$3:$L$3,0))</f>
        <v>#N/A</v>
      </c>
      <c r="D50" s="6" t="e">
        <f>INDEX(disciplinaGrade!$A$3:$L$400,MATCH('Prof1-1234567'!A50,disciplinaGrade!$A$3:$A$400,0),MATCH(disciplinaGrade!$E$3,disciplinaGrade!$A$3:$L$3,0))</f>
        <v>#N/A</v>
      </c>
      <c r="E50" s="6" t="e">
        <f>INDEX(disciplinaGrade!$A$3:$L$400,MATCH('Prof1-1234567'!A50,disciplinaGrade!$A$3:$A$400,0),MATCH(disciplinaGrade!$F$3,disciplinaGrade!$A$3:$L$3,0))</f>
        <v>#N/A</v>
      </c>
      <c r="F50" s="6" t="e">
        <f>INDEX(disciplinaGrade!$A$3:$L$400,MATCH('Prof1-1234567'!A50,disciplinaGrade!$A$3:$A$400,0),MATCH(disciplinaGrade!$G$3,disciplinaGrade!$A$3:$L$3,0))</f>
        <v>#N/A</v>
      </c>
      <c r="G50" s="6" t="e">
        <f>INDEX(disciplinaGrade!$A$3:$L$400,MATCH('Prof1-1234567'!A50,disciplinaGrade!$A$3:$A$400,0),MATCH(disciplinaGrade!$H$3,disciplinaGrade!$A$3:$L$3,0))</f>
        <v>#N/A</v>
      </c>
      <c r="H50" s="6" t="e">
        <f>INDEX(disciplinaGrade!$A$3:$L$400,MATCH('Prof1-1234567'!A50,disciplinaGrade!$A$3:$A$400,0),MATCH(disciplinaGrade!$I$3,disciplinaGrade!$A$3:$L$3,0))</f>
        <v>#N/A</v>
      </c>
      <c r="I50" s="6" t="e">
        <f>INDEX(disciplinaGrade!$A$3:$L$400,MATCH('Prof1-1234567'!A50,disciplinaGrade!$A$3:$A$400,0),MATCH(disciplinaGrade!$J$3,disciplinaGrade!$A$3:$L$3,0))</f>
        <v>#N/A</v>
      </c>
      <c r="J50" s="6" t="e">
        <f>INDEX(disciplinaGrade!$A$3:$L$400,MATCH('Prof1-1234567'!A50,disciplinaGrade!$A$3:$A$400,0),MATCH(disciplinaGrade!$K$3,disciplinaGrade!$A$3:$L$3,0))</f>
        <v>#N/A</v>
      </c>
      <c r="K50" s="6" t="e">
        <f>INDEX(disciplinaGrade!$A$3:$L$400,MATCH('Prof1-1234567'!A50,disciplinaGrade!$A$3:$A$400,0),MATCH(disciplinaGrade!$L$3,disciplinaGrade!$A$3:$L$3,0))</f>
        <v>#N/A</v>
      </c>
    </row>
    <row r="51" spans="1:11" x14ac:dyDescent="0.25">
      <c r="A51" s="2">
        <v>0</v>
      </c>
      <c r="B51" s="6" t="e">
        <f>INDEX(disciplinaGrade!$A$3:$L$400,MATCH('Prof1-1234567'!A51,disciplinaGrade!$A$3:$A$400,0),MATCH(disciplinaGrade!$C$3,disciplinaGrade!$A$3:$L$3,0))</f>
        <v>#N/A</v>
      </c>
      <c r="C51" s="27" t="e">
        <f>INDEX(disciplinaGrade!$A$3:$L$400,MATCH('Prof1-1234567'!A51,disciplinaGrade!$A$3:$A$400,0),MATCH(disciplinaGrade!$D$3,disciplinaGrade!$A$3:$L$3,0))</f>
        <v>#N/A</v>
      </c>
      <c r="D51" s="6" t="e">
        <f>INDEX(disciplinaGrade!$A$3:$L$400,MATCH('Prof1-1234567'!A51,disciplinaGrade!$A$3:$A$400,0),MATCH(disciplinaGrade!$E$3,disciplinaGrade!$A$3:$L$3,0))</f>
        <v>#N/A</v>
      </c>
      <c r="E51" s="6" t="e">
        <f>INDEX(disciplinaGrade!$A$3:$L$400,MATCH('Prof1-1234567'!A51,disciplinaGrade!$A$3:$A$400,0),MATCH(disciplinaGrade!$F$3,disciplinaGrade!$A$3:$L$3,0))</f>
        <v>#N/A</v>
      </c>
      <c r="F51" s="6" t="e">
        <f>INDEX(disciplinaGrade!$A$3:$L$400,MATCH('Prof1-1234567'!A51,disciplinaGrade!$A$3:$A$400,0),MATCH(disciplinaGrade!$G$3,disciplinaGrade!$A$3:$L$3,0))</f>
        <v>#N/A</v>
      </c>
      <c r="G51" s="6" t="e">
        <f>INDEX(disciplinaGrade!$A$3:$L$400,MATCH('Prof1-1234567'!A51,disciplinaGrade!$A$3:$A$400,0),MATCH(disciplinaGrade!$H$3,disciplinaGrade!$A$3:$L$3,0))</f>
        <v>#N/A</v>
      </c>
      <c r="H51" s="6" t="e">
        <f>INDEX(disciplinaGrade!$A$3:$L$400,MATCH('Prof1-1234567'!A51,disciplinaGrade!$A$3:$A$400,0),MATCH(disciplinaGrade!$I$3,disciplinaGrade!$A$3:$L$3,0))</f>
        <v>#N/A</v>
      </c>
      <c r="I51" s="6" t="e">
        <f>INDEX(disciplinaGrade!$A$3:$L$400,MATCH('Prof1-1234567'!A51,disciplinaGrade!$A$3:$A$400,0),MATCH(disciplinaGrade!$J$3,disciplinaGrade!$A$3:$L$3,0))</f>
        <v>#N/A</v>
      </c>
      <c r="J51" s="6" t="e">
        <f>INDEX(disciplinaGrade!$A$3:$L$400,MATCH('Prof1-1234567'!A51,disciplinaGrade!$A$3:$A$400,0),MATCH(disciplinaGrade!$K$3,disciplinaGrade!$A$3:$L$3,0))</f>
        <v>#N/A</v>
      </c>
      <c r="K51" s="6" t="e">
        <f>INDEX(disciplinaGrade!$A$3:$L$400,MATCH('Prof1-1234567'!A51,disciplinaGrade!$A$3:$A$400,0),MATCH(disciplinaGrade!$L$3,disciplinaGrade!$A$3:$L$3,0))</f>
        <v>#N/A</v>
      </c>
    </row>
    <row r="52" spans="1:11" x14ac:dyDescent="0.25">
      <c r="A52" s="2">
        <v>0</v>
      </c>
      <c r="B52" s="6" t="e">
        <f>INDEX(disciplinaGrade!$A$3:$L$400,MATCH('Prof1-1234567'!A52,disciplinaGrade!$A$3:$A$400,0),MATCH(disciplinaGrade!$C$3,disciplinaGrade!$A$3:$L$3,0))</f>
        <v>#N/A</v>
      </c>
      <c r="C52" s="27" t="e">
        <f>INDEX(disciplinaGrade!$A$3:$L$400,MATCH('Prof1-1234567'!A52,disciplinaGrade!$A$3:$A$400,0),MATCH(disciplinaGrade!$D$3,disciplinaGrade!$A$3:$L$3,0))</f>
        <v>#N/A</v>
      </c>
      <c r="D52" s="6" t="e">
        <f>INDEX(disciplinaGrade!$A$3:$L$400,MATCH('Prof1-1234567'!A52,disciplinaGrade!$A$3:$A$400,0),MATCH(disciplinaGrade!$E$3,disciplinaGrade!$A$3:$L$3,0))</f>
        <v>#N/A</v>
      </c>
      <c r="E52" s="6" t="e">
        <f>INDEX(disciplinaGrade!$A$3:$L$400,MATCH('Prof1-1234567'!A52,disciplinaGrade!$A$3:$A$400,0),MATCH(disciplinaGrade!$F$3,disciplinaGrade!$A$3:$L$3,0))</f>
        <v>#N/A</v>
      </c>
      <c r="F52" s="6" t="e">
        <f>INDEX(disciplinaGrade!$A$3:$L$400,MATCH('Prof1-1234567'!A52,disciplinaGrade!$A$3:$A$400,0),MATCH(disciplinaGrade!$G$3,disciplinaGrade!$A$3:$L$3,0))</f>
        <v>#N/A</v>
      </c>
      <c r="G52" s="6" t="e">
        <f>INDEX(disciplinaGrade!$A$3:$L$400,MATCH('Prof1-1234567'!A52,disciplinaGrade!$A$3:$A$400,0),MATCH(disciplinaGrade!$H$3,disciplinaGrade!$A$3:$L$3,0))</f>
        <v>#N/A</v>
      </c>
      <c r="H52" s="6" t="e">
        <f>INDEX(disciplinaGrade!$A$3:$L$400,MATCH('Prof1-1234567'!A52,disciplinaGrade!$A$3:$A$400,0),MATCH(disciplinaGrade!$I$3,disciplinaGrade!$A$3:$L$3,0))</f>
        <v>#N/A</v>
      </c>
      <c r="I52" s="6" t="e">
        <f>INDEX(disciplinaGrade!$A$3:$L$400,MATCH('Prof1-1234567'!A52,disciplinaGrade!$A$3:$A$400,0),MATCH(disciplinaGrade!$J$3,disciplinaGrade!$A$3:$L$3,0))</f>
        <v>#N/A</v>
      </c>
      <c r="J52" s="6" t="e">
        <f>INDEX(disciplinaGrade!$A$3:$L$400,MATCH('Prof1-1234567'!A52,disciplinaGrade!$A$3:$A$400,0),MATCH(disciplinaGrade!$K$3,disciplinaGrade!$A$3:$L$3,0))</f>
        <v>#N/A</v>
      </c>
      <c r="K52" s="6" t="e">
        <f>INDEX(disciplinaGrade!$A$3:$L$400,MATCH('Prof1-1234567'!A52,disciplinaGrade!$A$3:$A$400,0),MATCH(disciplinaGrade!$L$3,disciplinaGrade!$A$3:$L$3,0))</f>
        <v>#N/A</v>
      </c>
    </row>
  </sheetData>
  <phoneticPr fontId="1" type="noConversion"/>
  <dataValidations disablePrompts="1" count="1">
    <dataValidation type="list" allowBlank="1" showInputMessage="1" showErrorMessage="1" sqref="H13:CY13" xr:uid="{A71FC0CE-E878-409A-AA95-87934C392081}">
      <formula1>"P,H,."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9BA68-DAA8-4EAC-8B39-9BB3CE1F3D04}">
  <dimension ref="A6:B20"/>
  <sheetViews>
    <sheetView workbookViewId="0">
      <selection sqref="A1:XFD1048576"/>
    </sheetView>
  </sheetViews>
  <sheetFormatPr defaultRowHeight="15" x14ac:dyDescent="0.25"/>
  <cols>
    <col min="1" max="1" width="23.7109375" style="1" bestFit="1" customWidth="1"/>
    <col min="2" max="2" width="37.85546875" style="1" customWidth="1"/>
    <col min="3" max="3" width="15.140625" style="1" bestFit="1" customWidth="1"/>
    <col min="4" max="4" width="18.140625" style="1" bestFit="1" customWidth="1"/>
    <col min="5" max="7" width="15.140625" style="1" bestFit="1" customWidth="1"/>
    <col min="8" max="13" width="23.140625" style="1" customWidth="1"/>
    <col min="14" max="108" width="3.5703125" style="1" customWidth="1"/>
    <col min="109" max="111" width="26.7109375" style="1" bestFit="1" customWidth="1"/>
    <col min="112" max="16384" width="9.140625" style="1"/>
  </cols>
  <sheetData>
    <row r="6" spans="1:2" x14ac:dyDescent="0.25">
      <c r="A6" s="2" t="s">
        <v>0</v>
      </c>
      <c r="B6" s="14">
        <f>parametros!B5</f>
        <v>2025</v>
      </c>
    </row>
    <row r="7" spans="1:2" x14ac:dyDescent="0.25">
      <c r="A7" s="2" t="s">
        <v>1</v>
      </c>
      <c r="B7" s="14">
        <f>parametros!B6</f>
        <v>9</v>
      </c>
    </row>
    <row r="9" spans="1:2" x14ac:dyDescent="0.25">
      <c r="A9" s="1" t="s">
        <v>45</v>
      </c>
    </row>
    <row r="10" spans="1:2" x14ac:dyDescent="0.25">
      <c r="A10" s="17" t="s">
        <v>44</v>
      </c>
      <c r="B10" s="17" t="s">
        <v>46</v>
      </c>
    </row>
    <row r="11" spans="1:2" x14ac:dyDescent="0.25">
      <c r="A11" s="12">
        <v>1</v>
      </c>
      <c r="B11" s="2" t="s">
        <v>47</v>
      </c>
    </row>
    <row r="12" spans="1:2" x14ac:dyDescent="0.25">
      <c r="A12" s="13">
        <v>2</v>
      </c>
      <c r="B12" s="9" t="s">
        <v>48</v>
      </c>
    </row>
    <row r="13" spans="1:2" x14ac:dyDescent="0.25">
      <c r="A13" s="12">
        <v>3</v>
      </c>
      <c r="B13" s="2" t="s">
        <v>49</v>
      </c>
    </row>
    <row r="14" spans="1:2" x14ac:dyDescent="0.25">
      <c r="A14" s="13"/>
      <c r="B14" s="9"/>
    </row>
    <row r="15" spans="1:2" x14ac:dyDescent="0.25">
      <c r="A15" s="12"/>
      <c r="B15" s="2"/>
    </row>
    <row r="16" spans="1:2" x14ac:dyDescent="0.25">
      <c r="A16" s="13"/>
      <c r="B16" s="9"/>
    </row>
    <row r="17" spans="1:2" x14ac:dyDescent="0.25">
      <c r="A17" s="12"/>
      <c r="B17" s="2"/>
    </row>
    <row r="18" spans="1:2" x14ac:dyDescent="0.25">
      <c r="A18" s="13"/>
      <c r="B18" s="9"/>
    </row>
    <row r="19" spans="1:2" x14ac:dyDescent="0.25">
      <c r="A19" s="12"/>
      <c r="B19" s="2"/>
    </row>
    <row r="20" spans="1:2" x14ac:dyDescent="0.25">
      <c r="A20" s="13"/>
      <c r="B20" s="9"/>
    </row>
  </sheetData>
  <dataValidations count="1">
    <dataValidation type="list" allowBlank="1" showInputMessage="1" showErrorMessage="1" sqref="C9" xr:uid="{11106AF1-9D50-4FFB-9253-E5D529AC05D4}">
      <formula1>"Sim,Nao"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5FC25-5414-4FF4-806E-4E9C3889604A}">
  <dimension ref="A4:C19"/>
  <sheetViews>
    <sheetView workbookViewId="0">
      <selection activeCell="B7" sqref="B7"/>
    </sheetView>
  </sheetViews>
  <sheetFormatPr defaultRowHeight="15" x14ac:dyDescent="0.25"/>
  <cols>
    <col min="2" max="2" width="14.42578125" bestFit="1" customWidth="1"/>
    <col min="3" max="3" width="14.85546875" bestFit="1" customWidth="1"/>
  </cols>
  <sheetData>
    <row r="4" spans="1:3" x14ac:dyDescent="0.25">
      <c r="A4" s="21" t="s">
        <v>61</v>
      </c>
      <c r="B4" s="21" t="s">
        <v>62</v>
      </c>
      <c r="C4" s="21" t="s">
        <v>63</v>
      </c>
    </row>
    <row r="5" spans="1:3" x14ac:dyDescent="0.25">
      <c r="A5" s="21">
        <v>1</v>
      </c>
      <c r="B5" s="21" t="s">
        <v>160</v>
      </c>
      <c r="C5" s="21" t="s">
        <v>68</v>
      </c>
    </row>
    <row r="6" spans="1:3" x14ac:dyDescent="0.25">
      <c r="A6" s="21">
        <v>2</v>
      </c>
      <c r="B6" s="21" t="s">
        <v>161</v>
      </c>
      <c r="C6" s="21" t="s">
        <v>69</v>
      </c>
    </row>
    <row r="7" spans="1:3" x14ac:dyDescent="0.25">
      <c r="A7" s="21">
        <v>3</v>
      </c>
      <c r="B7" s="21" t="s">
        <v>64</v>
      </c>
      <c r="C7" s="21" t="s">
        <v>70</v>
      </c>
    </row>
    <row r="8" spans="1:3" x14ac:dyDescent="0.25">
      <c r="A8" s="21">
        <v>4</v>
      </c>
      <c r="B8" s="21" t="s">
        <v>65</v>
      </c>
      <c r="C8" s="21" t="s">
        <v>71</v>
      </c>
    </row>
    <row r="9" spans="1:3" x14ac:dyDescent="0.25">
      <c r="A9" s="21">
        <v>5</v>
      </c>
      <c r="B9" s="21" t="s">
        <v>66</v>
      </c>
      <c r="C9" s="21" t="s">
        <v>72</v>
      </c>
    </row>
    <row r="10" spans="1:3" x14ac:dyDescent="0.25">
      <c r="A10" s="21">
        <v>6</v>
      </c>
      <c r="B10" s="21" t="s">
        <v>67</v>
      </c>
      <c r="C10" s="21" t="s">
        <v>73</v>
      </c>
    </row>
    <row r="11" spans="1:3" x14ac:dyDescent="0.25">
      <c r="A11" s="21">
        <v>7</v>
      </c>
      <c r="B11" s="21" t="s">
        <v>74</v>
      </c>
      <c r="C11" s="21" t="s">
        <v>75</v>
      </c>
    </row>
    <row r="12" spans="1:3" x14ac:dyDescent="0.25">
      <c r="A12" s="21">
        <v>8</v>
      </c>
      <c r="B12" s="21" t="s">
        <v>76</v>
      </c>
      <c r="C12" s="21" t="s">
        <v>77</v>
      </c>
    </row>
    <row r="13" spans="1:3" x14ac:dyDescent="0.25">
      <c r="A13" s="21">
        <v>9</v>
      </c>
      <c r="B13" s="21" t="s">
        <v>78</v>
      </c>
      <c r="C13" s="21" t="s">
        <v>79</v>
      </c>
    </row>
    <row r="14" spans="1:3" x14ac:dyDescent="0.25">
      <c r="A14" s="21">
        <v>10</v>
      </c>
      <c r="B14" s="21" t="s">
        <v>80</v>
      </c>
      <c r="C14" s="21" t="s">
        <v>81</v>
      </c>
    </row>
    <row r="15" spans="1:3" x14ac:dyDescent="0.25">
      <c r="A15" s="21">
        <v>11</v>
      </c>
      <c r="B15" s="21" t="s">
        <v>82</v>
      </c>
      <c r="C15" s="21" t="s">
        <v>83</v>
      </c>
    </row>
    <row r="16" spans="1:3" x14ac:dyDescent="0.25">
      <c r="A16" s="21">
        <v>12</v>
      </c>
      <c r="B16" s="21" t="s">
        <v>84</v>
      </c>
      <c r="C16" s="21" t="s">
        <v>85</v>
      </c>
    </row>
    <row r="17" spans="1:3" x14ac:dyDescent="0.25">
      <c r="A17" s="21">
        <v>13</v>
      </c>
      <c r="B17" s="21" t="s">
        <v>86</v>
      </c>
      <c r="C17" s="21" t="s">
        <v>87</v>
      </c>
    </row>
    <row r="18" spans="1:3" x14ac:dyDescent="0.25">
      <c r="A18" s="21">
        <v>14</v>
      </c>
      <c r="B18" s="21" t="s">
        <v>88</v>
      </c>
      <c r="C18" s="21" t="s">
        <v>89</v>
      </c>
    </row>
    <row r="19" spans="1:3" x14ac:dyDescent="0.25">
      <c r="A19" s="21">
        <v>15</v>
      </c>
      <c r="B19" s="21" t="s">
        <v>90</v>
      </c>
      <c r="C19" s="21" t="s">
        <v>91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79FDA-D446-443F-8367-844A7BCB9480}">
  <dimension ref="A2:F112"/>
  <sheetViews>
    <sheetView workbookViewId="0">
      <selection activeCell="A8" sqref="A8"/>
    </sheetView>
  </sheetViews>
  <sheetFormatPr defaultRowHeight="15" x14ac:dyDescent="0.25"/>
  <cols>
    <col min="1" max="1" width="16.85546875" bestFit="1" customWidth="1"/>
    <col min="3" max="3" width="24.7109375" customWidth="1"/>
    <col min="4" max="4" width="14.85546875" bestFit="1" customWidth="1"/>
    <col min="5" max="5" width="36.42578125" bestFit="1" customWidth="1"/>
  </cols>
  <sheetData>
    <row r="2" spans="1:6" x14ac:dyDescent="0.25">
      <c r="C2" t="s">
        <v>142</v>
      </c>
    </row>
    <row r="4" spans="1:6" x14ac:dyDescent="0.25">
      <c r="A4" t="s">
        <v>146</v>
      </c>
      <c r="B4" s="21" t="s">
        <v>61</v>
      </c>
      <c r="C4" s="21" t="s">
        <v>62</v>
      </c>
      <c r="D4" s="21" t="s">
        <v>143</v>
      </c>
      <c r="E4" s="24" t="s">
        <v>144</v>
      </c>
      <c r="F4" s="23" t="s">
        <v>145</v>
      </c>
    </row>
    <row r="5" spans="1:6" x14ac:dyDescent="0.25">
      <c r="A5">
        <v>1</v>
      </c>
      <c r="B5" s="21">
        <v>1</v>
      </c>
      <c r="C5" s="21" t="str">
        <f>INDEX(cursos!$A$4:$C$19,MATCH(cursoDisciplina!B5,cursos!$A$4:$A$19,0),MATCH(cursos!$B$4,cursos!$A$4:$C$4,0))</f>
        <v>ADS</v>
      </c>
      <c r="D5" s="21">
        <v>1</v>
      </c>
      <c r="E5" s="21" t="str">
        <f>INDEX(disciplinaBase!$A$3:$C$53,MATCH(cursoDisciplina!D5,disciplinaBase!$A$3:$A$53,0),MATCH(disciplinaBase!$B$3,disciplinaBase!$A$3:$C$3,0))</f>
        <v>laboratóeio de engenharia de Software</v>
      </c>
      <c r="F5">
        <v>2</v>
      </c>
    </row>
    <row r="6" spans="1:6" x14ac:dyDescent="0.25">
      <c r="A6">
        <v>2</v>
      </c>
      <c r="B6" s="21">
        <v>1</v>
      </c>
      <c r="C6" s="21" t="str">
        <f>INDEX(cursos!$A$4:$C$19,MATCH(cursoDisciplina!B6,cursos!$A$4:$A$19,0),MATCH(cursos!$B$4,cursos!$A$4:$C$4,0))</f>
        <v>ADS</v>
      </c>
      <c r="D6" s="21">
        <v>2</v>
      </c>
      <c r="E6" s="21" t="str">
        <f>INDEX(disciplinaBase!$A$3:$C$53,MATCH(cursoDisciplina!D6,disciplinaBase!$A$3:$A$53,0),MATCH(disciplinaBase!$B$3,disciplinaBase!$A$3:$C$3,0))</f>
        <v>Estrutura de Dados</v>
      </c>
      <c r="F6">
        <v>2</v>
      </c>
    </row>
    <row r="7" spans="1:6" x14ac:dyDescent="0.25">
      <c r="A7">
        <v>3</v>
      </c>
      <c r="B7" s="21">
        <v>1</v>
      </c>
      <c r="C7" s="21" t="str">
        <f>INDEX(cursos!$A$4:$C$19,MATCH(cursoDisciplina!B7,cursos!$A$4:$A$19,0),MATCH(cursos!$B$4,cursos!$A$4:$C$4,0))</f>
        <v>ADS</v>
      </c>
      <c r="D7" s="21">
        <v>3</v>
      </c>
      <c r="E7" s="21" t="str">
        <f>INDEX(disciplinaBase!$A$3:$C$53,MATCH(cursoDisciplina!D7,disciplinaBase!$A$3:$A$53,0),MATCH(disciplinaBase!$B$3,disciplinaBase!$A$3:$C$3,0))</f>
        <v>PEM</v>
      </c>
      <c r="F7">
        <v>2</v>
      </c>
    </row>
    <row r="8" spans="1:6" x14ac:dyDescent="0.25">
      <c r="A8">
        <v>4</v>
      </c>
      <c r="B8" s="21">
        <v>2</v>
      </c>
      <c r="C8" s="21" t="str">
        <f>INDEX(cursos!$A$4:$C$19,MATCH(cursoDisciplina!B8,cursos!$A$4:$A$19,0),MATCH(cursos!$B$4,cursos!$A$4:$C$4,0))</f>
        <v>BigData</v>
      </c>
      <c r="D8" s="21">
        <v>2</v>
      </c>
      <c r="E8" s="21" t="str">
        <f>INDEX(disciplinaBase!$A$3:$C$53,MATCH(cursoDisciplina!D8,disciplinaBase!$A$3:$A$53,0),MATCH(disciplinaBase!$B$3,disciplinaBase!$A$3:$C$3,0))</f>
        <v>Estrutura de Dados</v>
      </c>
      <c r="F8">
        <v>3</v>
      </c>
    </row>
    <row r="9" spans="1:6" x14ac:dyDescent="0.25">
      <c r="A9">
        <v>5</v>
      </c>
      <c r="B9" s="21">
        <v>1</v>
      </c>
      <c r="C9" s="21" t="str">
        <f>INDEX(cursos!$A$4:$C$19,MATCH(cursoDisciplina!B9,cursos!$A$4:$A$19,0),MATCH(cursos!$B$4,cursos!$A$4:$C$4,0))</f>
        <v>ADS</v>
      </c>
      <c r="D9" s="21">
        <v>5</v>
      </c>
      <c r="E9" s="21" t="str">
        <f>INDEX(disciplinaBase!$A$3:$C$53,MATCH(cursoDisciplina!D9,disciplinaBase!$A$3:$A$53,0),MATCH(disciplinaBase!$B$3,disciplinaBase!$A$3:$C$3,0))</f>
        <v>Disciplina 5</v>
      </c>
      <c r="F9">
        <v>2</v>
      </c>
    </row>
    <row r="10" spans="1:6" x14ac:dyDescent="0.25">
      <c r="A10">
        <v>6</v>
      </c>
      <c r="B10" s="21">
        <v>1</v>
      </c>
      <c r="C10" s="21" t="str">
        <f>INDEX(cursos!$A$4:$C$19,MATCH(cursoDisciplina!B10,cursos!$A$4:$A$19,0),MATCH(cursos!$B$4,cursos!$A$4:$C$4,0))</f>
        <v>ADS</v>
      </c>
      <c r="D10" s="21">
        <v>6</v>
      </c>
      <c r="E10" s="21" t="str">
        <f>INDEX(disciplinaBase!$A$3:$C$53,MATCH(cursoDisciplina!D10,disciplinaBase!$A$3:$A$53,0),MATCH(disciplinaBase!$B$3,disciplinaBase!$A$3:$C$3,0))</f>
        <v>Disciplina 6</v>
      </c>
      <c r="F10">
        <v>2</v>
      </c>
    </row>
    <row r="11" spans="1:6" x14ac:dyDescent="0.25">
      <c r="A11">
        <v>7</v>
      </c>
      <c r="B11" s="21">
        <v>1</v>
      </c>
      <c r="C11" s="21" t="str">
        <f>INDEX(cursos!$A$4:$C$19,MATCH(cursoDisciplina!B11,cursos!$A$4:$A$19,0),MATCH(cursos!$B$4,cursos!$A$4:$C$4,0))</f>
        <v>ADS</v>
      </c>
      <c r="D11" s="21">
        <v>7</v>
      </c>
      <c r="E11" s="21" t="str">
        <f>INDEX(disciplinaBase!$A$3:$C$53,MATCH(cursoDisciplina!D11,disciplinaBase!$A$3:$A$53,0),MATCH(disciplinaBase!$B$3,disciplinaBase!$A$3:$C$3,0))</f>
        <v>Disciplina 7</v>
      </c>
      <c r="F11">
        <v>2</v>
      </c>
    </row>
    <row r="12" spans="1:6" x14ac:dyDescent="0.25">
      <c r="A12">
        <v>8</v>
      </c>
      <c r="B12" s="21">
        <v>1</v>
      </c>
      <c r="C12" s="21" t="str">
        <f>INDEX(cursos!$A$4:$C$19,MATCH(cursoDisciplina!B12,cursos!$A$4:$A$19,0),MATCH(cursos!$B$4,cursos!$A$4:$C$4,0))</f>
        <v>ADS</v>
      </c>
      <c r="D12" s="21">
        <v>8</v>
      </c>
      <c r="E12" s="21" t="str">
        <f>INDEX(disciplinaBase!$A$3:$C$53,MATCH(cursoDisciplina!D12,disciplinaBase!$A$3:$A$53,0),MATCH(disciplinaBase!$B$3,disciplinaBase!$A$3:$C$3,0))</f>
        <v>Disciplina 8</v>
      </c>
      <c r="F12">
        <v>2</v>
      </c>
    </row>
    <row r="13" spans="1:6" x14ac:dyDescent="0.25">
      <c r="A13">
        <v>9</v>
      </c>
      <c r="B13" s="21">
        <v>1</v>
      </c>
      <c r="C13" s="21" t="str">
        <f>INDEX(cursos!$A$4:$C$19,MATCH(cursoDisciplina!B13,cursos!$A$4:$A$19,0),MATCH(cursos!$B$4,cursos!$A$4:$C$4,0))</f>
        <v>ADS</v>
      </c>
      <c r="D13" s="21">
        <v>9</v>
      </c>
      <c r="E13" s="21" t="str">
        <f>INDEX(disciplinaBase!$A$3:$C$53,MATCH(cursoDisciplina!D13,disciplinaBase!$A$3:$A$53,0),MATCH(disciplinaBase!$B$3,disciplinaBase!$A$3:$C$3,0))</f>
        <v>Disciplina 9</v>
      </c>
      <c r="F13">
        <v>2</v>
      </c>
    </row>
    <row r="14" spans="1:6" x14ac:dyDescent="0.25">
      <c r="A14">
        <v>10</v>
      </c>
      <c r="B14" s="21">
        <v>1</v>
      </c>
      <c r="C14" s="21" t="str">
        <f>INDEX(cursos!$A$4:$C$19,MATCH(cursoDisciplina!B14,cursos!$A$4:$A$19,0),MATCH(cursos!$B$4,cursos!$A$4:$C$4,0))</f>
        <v>ADS</v>
      </c>
      <c r="D14" s="21">
        <v>10</v>
      </c>
      <c r="E14" s="21" t="str">
        <f>INDEX(disciplinaBase!$A$3:$C$53,MATCH(cursoDisciplina!D14,disciplinaBase!$A$3:$A$53,0),MATCH(disciplinaBase!$B$3,disciplinaBase!$A$3:$C$3,0))</f>
        <v>Disciplina 10</v>
      </c>
      <c r="F14">
        <v>2</v>
      </c>
    </row>
    <row r="15" spans="1:6" x14ac:dyDescent="0.25">
      <c r="A15">
        <v>11</v>
      </c>
      <c r="B15" s="21">
        <v>1</v>
      </c>
      <c r="C15" s="21" t="str">
        <f>INDEX(cursos!$A$4:$C$19,MATCH(cursoDisciplina!B15,cursos!$A$4:$A$19,0),MATCH(cursos!$B$4,cursos!$A$4:$C$4,0))</f>
        <v>ADS</v>
      </c>
      <c r="D15" s="21">
        <v>11</v>
      </c>
      <c r="E15" s="21" t="str">
        <f>INDEX(disciplinaBase!$A$3:$C$53,MATCH(cursoDisciplina!D15,disciplinaBase!$A$3:$A$53,0),MATCH(disciplinaBase!$B$3,disciplinaBase!$A$3:$C$3,0))</f>
        <v>Disciplina 11</v>
      </c>
      <c r="F15">
        <v>2</v>
      </c>
    </row>
    <row r="16" spans="1:6" x14ac:dyDescent="0.25">
      <c r="A16">
        <v>12</v>
      </c>
      <c r="B16" s="21">
        <v>1</v>
      </c>
      <c r="C16" s="21" t="str">
        <f>INDEX(cursos!$A$4:$C$19,MATCH(cursoDisciplina!B16,cursos!$A$4:$A$19,0),MATCH(cursos!$B$4,cursos!$A$4:$C$4,0))</f>
        <v>ADS</v>
      </c>
      <c r="D16" s="21">
        <v>12</v>
      </c>
      <c r="E16" s="21" t="str">
        <f>INDEX(disciplinaBase!$A$3:$C$53,MATCH(cursoDisciplina!D16,disciplinaBase!$A$3:$A$53,0),MATCH(disciplinaBase!$B$3,disciplinaBase!$A$3:$C$3,0))</f>
        <v>Disciplina 12</v>
      </c>
      <c r="F16">
        <v>2</v>
      </c>
    </row>
    <row r="17" spans="1:6" x14ac:dyDescent="0.25">
      <c r="A17">
        <v>13</v>
      </c>
      <c r="B17" s="21">
        <v>1</v>
      </c>
      <c r="C17" s="21" t="str">
        <f>INDEX(cursos!$A$4:$C$19,MATCH(cursoDisciplina!B17,cursos!$A$4:$A$19,0),MATCH(cursos!$B$4,cursos!$A$4:$C$4,0))</f>
        <v>ADS</v>
      </c>
      <c r="D17" s="21">
        <v>13</v>
      </c>
      <c r="E17" s="21" t="str">
        <f>INDEX(disciplinaBase!$A$3:$C$53,MATCH(cursoDisciplina!D17,disciplinaBase!$A$3:$A$53,0),MATCH(disciplinaBase!$B$3,disciplinaBase!$A$3:$C$3,0))</f>
        <v>Disciplina 13</v>
      </c>
      <c r="F17">
        <v>2</v>
      </c>
    </row>
    <row r="18" spans="1:6" x14ac:dyDescent="0.25">
      <c r="A18">
        <v>14</v>
      </c>
      <c r="B18" s="21">
        <v>1</v>
      </c>
      <c r="C18" s="21" t="str">
        <f>INDEX(cursos!$A$4:$C$19,MATCH(cursoDisciplina!B18,cursos!$A$4:$A$19,0),MATCH(cursos!$B$4,cursos!$A$4:$C$4,0))</f>
        <v>ADS</v>
      </c>
      <c r="D18" s="21">
        <v>14</v>
      </c>
      <c r="E18" s="21" t="str">
        <f>INDEX(disciplinaBase!$A$3:$C$53,MATCH(cursoDisciplina!D18,disciplinaBase!$A$3:$A$53,0),MATCH(disciplinaBase!$B$3,disciplinaBase!$A$3:$C$3,0))</f>
        <v>Disciplina 14</v>
      </c>
      <c r="F18">
        <v>2</v>
      </c>
    </row>
    <row r="19" spans="1:6" x14ac:dyDescent="0.25">
      <c r="A19">
        <v>15</v>
      </c>
      <c r="B19" s="21">
        <v>1</v>
      </c>
      <c r="C19" s="21" t="str">
        <f>INDEX(cursos!$A$4:$C$19,MATCH(cursoDisciplina!B19,cursos!$A$4:$A$19,0),MATCH(cursos!$B$4,cursos!$A$4:$C$4,0))</f>
        <v>ADS</v>
      </c>
      <c r="D19" s="21">
        <v>15</v>
      </c>
      <c r="E19" s="21" t="str">
        <f>INDEX(disciplinaBase!$A$3:$C$53,MATCH(cursoDisciplina!D19,disciplinaBase!$A$3:$A$53,0),MATCH(disciplinaBase!$B$3,disciplinaBase!$A$3:$C$3,0))</f>
        <v>Disciplina 15</v>
      </c>
      <c r="F19">
        <v>2</v>
      </c>
    </row>
    <row r="20" spans="1:6" x14ac:dyDescent="0.25">
      <c r="A20">
        <v>16</v>
      </c>
      <c r="B20" s="21">
        <v>2</v>
      </c>
      <c r="C20" s="21" t="str">
        <f>INDEX(cursos!$A$4:$C$19,MATCH(cursoDisciplina!B20,cursos!$A$4:$A$19,0),MATCH(cursos!$B$4,cursos!$A$4:$C$4,0))</f>
        <v>BigData</v>
      </c>
      <c r="D20" s="21">
        <v>1</v>
      </c>
      <c r="E20" s="21" t="str">
        <f>INDEX(disciplinaBase!$A$3:$C$53,MATCH(cursoDisciplina!D20,disciplinaBase!$A$3:$A$53,0),MATCH(disciplinaBase!$B$3,disciplinaBase!$A$3:$C$3,0))</f>
        <v>laboratóeio de engenharia de Software</v>
      </c>
      <c r="F20">
        <v>2</v>
      </c>
    </row>
    <row r="21" spans="1:6" x14ac:dyDescent="0.25">
      <c r="A21">
        <v>17</v>
      </c>
      <c r="B21" s="21">
        <v>2</v>
      </c>
      <c r="C21" s="21" t="str">
        <f>INDEX(cursos!$A$4:$C$19,MATCH(cursoDisciplina!B21,cursos!$A$4:$A$19,0),MATCH(cursos!$B$4,cursos!$A$4:$C$4,0))</f>
        <v>BigData</v>
      </c>
      <c r="D21" s="21">
        <v>2</v>
      </c>
      <c r="E21" s="21" t="str">
        <f>INDEX(disciplinaBase!$A$3:$C$53,MATCH(cursoDisciplina!D21,disciplinaBase!$A$3:$A$53,0),MATCH(disciplinaBase!$B$3,disciplinaBase!$A$3:$C$3,0))</f>
        <v>Estrutura de Dados</v>
      </c>
      <c r="F21">
        <v>2</v>
      </c>
    </row>
    <row r="22" spans="1:6" x14ac:dyDescent="0.25">
      <c r="A22">
        <v>18</v>
      </c>
      <c r="B22" s="21">
        <v>2</v>
      </c>
      <c r="C22" s="21" t="str">
        <f>INDEX(cursos!$A$4:$C$19,MATCH(cursoDisciplina!B22,cursos!$A$4:$A$19,0),MATCH(cursos!$B$4,cursos!$A$4:$C$4,0))</f>
        <v>BigData</v>
      </c>
      <c r="D22" s="21">
        <v>3</v>
      </c>
      <c r="E22" s="21" t="str">
        <f>INDEX(disciplinaBase!$A$3:$C$53,MATCH(cursoDisciplina!D22,disciplinaBase!$A$3:$A$53,0),MATCH(disciplinaBase!$B$3,disciplinaBase!$A$3:$C$3,0))</f>
        <v>PEM</v>
      </c>
      <c r="F22">
        <v>2</v>
      </c>
    </row>
    <row r="23" spans="1:6" x14ac:dyDescent="0.25">
      <c r="A23">
        <v>19</v>
      </c>
      <c r="B23" s="21">
        <v>2</v>
      </c>
      <c r="C23" s="21" t="str">
        <f>INDEX(cursos!$A$4:$C$19,MATCH(cursoDisciplina!B23,cursos!$A$4:$A$19,0),MATCH(cursos!$B$4,cursos!$A$4:$C$4,0))</f>
        <v>BigData</v>
      </c>
      <c r="D23" s="21">
        <v>4</v>
      </c>
      <c r="E23" s="21" t="str">
        <f>INDEX(disciplinaBase!$A$3:$C$53,MATCH(cursoDisciplina!D23,disciplinaBase!$A$3:$A$53,0),MATCH(disciplinaBase!$B$3,disciplinaBase!$A$3:$C$3,0))</f>
        <v>Disciplina 4</v>
      </c>
      <c r="F23">
        <v>2</v>
      </c>
    </row>
    <row r="24" spans="1:6" x14ac:dyDescent="0.25">
      <c r="A24">
        <v>20</v>
      </c>
      <c r="B24" s="21">
        <v>2</v>
      </c>
      <c r="C24" s="21" t="str">
        <f>INDEX(cursos!$A$4:$C$19,MATCH(cursoDisciplina!B24,cursos!$A$4:$A$19,0),MATCH(cursos!$B$4,cursos!$A$4:$C$4,0))</f>
        <v>BigData</v>
      </c>
      <c r="D24" s="21">
        <v>5</v>
      </c>
      <c r="E24" s="21" t="str">
        <f>INDEX(disciplinaBase!$A$3:$C$53,MATCH(cursoDisciplina!D24,disciplinaBase!$A$3:$A$53,0),MATCH(disciplinaBase!$B$3,disciplinaBase!$A$3:$C$3,0))</f>
        <v>Disciplina 5</v>
      </c>
      <c r="F24">
        <v>2</v>
      </c>
    </row>
    <row r="25" spans="1:6" x14ac:dyDescent="0.25">
      <c r="A25">
        <v>21</v>
      </c>
      <c r="B25" s="21">
        <v>2</v>
      </c>
      <c r="C25" s="21" t="str">
        <f>INDEX(cursos!$A$4:$C$19,MATCH(cursoDisciplina!B25,cursos!$A$4:$A$19,0),MATCH(cursos!$B$4,cursos!$A$4:$C$4,0))</f>
        <v>BigData</v>
      </c>
      <c r="D25" s="21">
        <v>6</v>
      </c>
      <c r="E25" s="21" t="str">
        <f>INDEX(disciplinaBase!$A$3:$C$53,MATCH(cursoDisciplina!D25,disciplinaBase!$A$3:$A$53,0),MATCH(disciplinaBase!$B$3,disciplinaBase!$A$3:$C$3,0))</f>
        <v>Disciplina 6</v>
      </c>
      <c r="F25">
        <v>2</v>
      </c>
    </row>
    <row r="26" spans="1:6" x14ac:dyDescent="0.25">
      <c r="A26">
        <v>22</v>
      </c>
      <c r="B26" s="21">
        <v>2</v>
      </c>
      <c r="C26" s="21" t="str">
        <f>INDEX(cursos!$A$4:$C$19,MATCH(cursoDisciplina!B26,cursos!$A$4:$A$19,0),MATCH(cursos!$B$4,cursos!$A$4:$C$4,0))</f>
        <v>BigData</v>
      </c>
      <c r="D26" s="21">
        <v>7</v>
      </c>
      <c r="E26" s="21" t="str">
        <f>INDEX(disciplinaBase!$A$3:$C$53,MATCH(cursoDisciplina!D26,disciplinaBase!$A$3:$A$53,0),MATCH(disciplinaBase!$B$3,disciplinaBase!$A$3:$C$3,0))</f>
        <v>Disciplina 7</v>
      </c>
      <c r="F26">
        <v>2</v>
      </c>
    </row>
    <row r="27" spans="1:6" x14ac:dyDescent="0.25">
      <c r="A27">
        <v>23</v>
      </c>
      <c r="B27" s="21">
        <v>2</v>
      </c>
      <c r="C27" s="21" t="str">
        <f>INDEX(cursos!$A$4:$C$19,MATCH(cursoDisciplina!B27,cursos!$A$4:$A$19,0),MATCH(cursos!$B$4,cursos!$A$4:$C$4,0))</f>
        <v>BigData</v>
      </c>
      <c r="D27" s="21">
        <v>8</v>
      </c>
      <c r="E27" s="21" t="str">
        <f>INDEX(disciplinaBase!$A$3:$C$53,MATCH(cursoDisciplina!D27,disciplinaBase!$A$3:$A$53,0),MATCH(disciplinaBase!$B$3,disciplinaBase!$A$3:$C$3,0))</f>
        <v>Disciplina 8</v>
      </c>
      <c r="F27">
        <v>2</v>
      </c>
    </row>
    <row r="28" spans="1:6" x14ac:dyDescent="0.25">
      <c r="A28">
        <v>24</v>
      </c>
      <c r="B28" s="21">
        <v>2</v>
      </c>
      <c r="C28" s="21" t="str">
        <f>INDEX(cursos!$A$4:$C$19,MATCH(cursoDisciplina!B28,cursos!$A$4:$A$19,0),MATCH(cursos!$B$4,cursos!$A$4:$C$4,0))</f>
        <v>BigData</v>
      </c>
      <c r="D28" s="21">
        <v>9</v>
      </c>
      <c r="E28" s="21" t="str">
        <f>INDEX(disciplinaBase!$A$3:$C$53,MATCH(cursoDisciplina!D28,disciplinaBase!$A$3:$A$53,0),MATCH(disciplinaBase!$B$3,disciplinaBase!$A$3:$C$3,0))</f>
        <v>Disciplina 9</v>
      </c>
      <c r="F28">
        <v>2</v>
      </c>
    </row>
    <row r="29" spans="1:6" x14ac:dyDescent="0.25">
      <c r="A29">
        <v>25</v>
      </c>
      <c r="B29" s="21">
        <v>2</v>
      </c>
      <c r="C29" s="21" t="str">
        <f>INDEX(cursos!$A$4:$C$19,MATCH(cursoDisciplina!B29,cursos!$A$4:$A$19,0),MATCH(cursos!$B$4,cursos!$A$4:$C$4,0))</f>
        <v>BigData</v>
      </c>
      <c r="D29" s="21">
        <v>10</v>
      </c>
      <c r="E29" s="21" t="str">
        <f>INDEX(disciplinaBase!$A$3:$C$53,MATCH(cursoDisciplina!D29,disciplinaBase!$A$3:$A$53,0),MATCH(disciplinaBase!$B$3,disciplinaBase!$A$3:$C$3,0))</f>
        <v>Disciplina 10</v>
      </c>
      <c r="F29">
        <v>2</v>
      </c>
    </row>
    <row r="30" spans="1:6" x14ac:dyDescent="0.25">
      <c r="A30">
        <v>26</v>
      </c>
      <c r="B30" s="21">
        <v>2</v>
      </c>
      <c r="C30" s="21" t="str">
        <f>INDEX(cursos!$A$4:$C$19,MATCH(cursoDisciplina!B30,cursos!$A$4:$A$19,0),MATCH(cursos!$B$4,cursos!$A$4:$C$4,0))</f>
        <v>BigData</v>
      </c>
      <c r="D30" s="21">
        <v>11</v>
      </c>
      <c r="E30" s="21" t="str">
        <f>INDEX(disciplinaBase!$A$3:$C$53,MATCH(cursoDisciplina!D30,disciplinaBase!$A$3:$A$53,0),MATCH(disciplinaBase!$B$3,disciplinaBase!$A$3:$C$3,0))</f>
        <v>Disciplina 11</v>
      </c>
      <c r="F30">
        <v>2</v>
      </c>
    </row>
    <row r="31" spans="1:6" x14ac:dyDescent="0.25">
      <c r="A31">
        <v>27</v>
      </c>
      <c r="B31" s="21">
        <v>2</v>
      </c>
      <c r="C31" s="21" t="str">
        <f>INDEX(cursos!$A$4:$C$19,MATCH(cursoDisciplina!B31,cursos!$A$4:$A$19,0),MATCH(cursos!$B$4,cursos!$A$4:$C$4,0))</f>
        <v>BigData</v>
      </c>
      <c r="D31" s="21">
        <v>12</v>
      </c>
      <c r="E31" s="21" t="str">
        <f>INDEX(disciplinaBase!$A$3:$C$53,MATCH(cursoDisciplina!D31,disciplinaBase!$A$3:$A$53,0),MATCH(disciplinaBase!$B$3,disciplinaBase!$A$3:$C$3,0))</f>
        <v>Disciplina 12</v>
      </c>
      <c r="F31">
        <v>2</v>
      </c>
    </row>
    <row r="32" spans="1:6" x14ac:dyDescent="0.25">
      <c r="A32">
        <v>28</v>
      </c>
      <c r="B32" s="21">
        <v>2</v>
      </c>
      <c r="C32" s="21" t="str">
        <f>INDEX(cursos!$A$4:$C$19,MATCH(cursoDisciplina!B32,cursos!$A$4:$A$19,0),MATCH(cursos!$B$4,cursos!$A$4:$C$4,0))</f>
        <v>BigData</v>
      </c>
      <c r="D32" s="21">
        <v>13</v>
      </c>
      <c r="E32" s="21" t="str">
        <f>INDEX(disciplinaBase!$A$3:$C$53,MATCH(cursoDisciplina!D32,disciplinaBase!$A$3:$A$53,0),MATCH(disciplinaBase!$B$3,disciplinaBase!$A$3:$C$3,0))</f>
        <v>Disciplina 13</v>
      </c>
      <c r="F32">
        <v>2</v>
      </c>
    </row>
    <row r="33" spans="1:6" x14ac:dyDescent="0.25">
      <c r="A33">
        <v>29</v>
      </c>
      <c r="B33" s="21">
        <v>2</v>
      </c>
      <c r="C33" s="21" t="str">
        <f>INDEX(cursos!$A$4:$C$19,MATCH(cursoDisciplina!B33,cursos!$A$4:$A$19,0),MATCH(cursos!$B$4,cursos!$A$4:$C$4,0))</f>
        <v>BigData</v>
      </c>
      <c r="D33" s="21">
        <v>14</v>
      </c>
      <c r="E33" s="21" t="str">
        <f>INDEX(disciplinaBase!$A$3:$C$53,MATCH(cursoDisciplina!D33,disciplinaBase!$A$3:$A$53,0),MATCH(disciplinaBase!$B$3,disciplinaBase!$A$3:$C$3,0))</f>
        <v>Disciplina 14</v>
      </c>
      <c r="F33">
        <v>2</v>
      </c>
    </row>
    <row r="34" spans="1:6" x14ac:dyDescent="0.25">
      <c r="A34">
        <v>30</v>
      </c>
      <c r="B34" s="21">
        <v>3</v>
      </c>
      <c r="C34" s="21" t="str">
        <f>INDEX(cursos!$A$4:$C$19,MATCH(cursoDisciplina!B34,cursos!$A$4:$A$19,0),MATCH(cursos!$B$4,cursos!$A$4:$C$4,0))</f>
        <v>curso 3</v>
      </c>
      <c r="D34" s="21">
        <v>1</v>
      </c>
      <c r="E34" s="21" t="str">
        <f>INDEX(disciplinaBase!$A$3:$C$53,MATCH(cursoDisciplina!D34,disciplinaBase!$A$3:$A$53,0),MATCH(disciplinaBase!$B$3,disciplinaBase!$A$3:$C$3,0))</f>
        <v>laboratóeio de engenharia de Software</v>
      </c>
      <c r="F34">
        <v>2</v>
      </c>
    </row>
    <row r="35" spans="1:6" x14ac:dyDescent="0.25">
      <c r="A35">
        <v>31</v>
      </c>
      <c r="B35" s="21">
        <v>3</v>
      </c>
      <c r="C35" s="21" t="str">
        <f>INDEX(cursos!$A$4:$C$19,MATCH(cursoDisciplina!B35,cursos!$A$4:$A$19,0),MATCH(cursos!$B$4,cursos!$A$4:$C$4,0))</f>
        <v>curso 3</v>
      </c>
      <c r="D35" s="21">
        <v>2</v>
      </c>
      <c r="E35" s="21" t="str">
        <f>INDEX(disciplinaBase!$A$3:$C$53,MATCH(cursoDisciplina!D35,disciplinaBase!$A$3:$A$53,0),MATCH(disciplinaBase!$B$3,disciplinaBase!$A$3:$C$3,0))</f>
        <v>Estrutura de Dados</v>
      </c>
      <c r="F35">
        <v>2</v>
      </c>
    </row>
    <row r="36" spans="1:6" x14ac:dyDescent="0.25">
      <c r="A36">
        <v>32</v>
      </c>
      <c r="B36" s="21">
        <v>3</v>
      </c>
      <c r="C36" s="21" t="str">
        <f>INDEX(cursos!$A$4:$C$19,MATCH(cursoDisciplina!B36,cursos!$A$4:$A$19,0),MATCH(cursos!$B$4,cursos!$A$4:$C$4,0))</f>
        <v>curso 3</v>
      </c>
      <c r="D36" s="21">
        <v>3</v>
      </c>
      <c r="E36" s="21" t="str">
        <f>INDEX(disciplinaBase!$A$3:$C$53,MATCH(cursoDisciplina!D36,disciplinaBase!$A$3:$A$53,0),MATCH(disciplinaBase!$B$3,disciplinaBase!$A$3:$C$3,0))</f>
        <v>PEM</v>
      </c>
      <c r="F36">
        <v>2</v>
      </c>
    </row>
    <row r="37" spans="1:6" x14ac:dyDescent="0.25">
      <c r="A37">
        <v>33</v>
      </c>
      <c r="B37" s="21">
        <v>3</v>
      </c>
      <c r="C37" s="21" t="str">
        <f>INDEX(cursos!$A$4:$C$19,MATCH(cursoDisciplina!B37,cursos!$A$4:$A$19,0),MATCH(cursos!$B$4,cursos!$A$4:$C$4,0))</f>
        <v>curso 3</v>
      </c>
      <c r="D37" s="21">
        <v>4</v>
      </c>
      <c r="E37" s="21" t="str">
        <f>INDEX(disciplinaBase!$A$3:$C$53,MATCH(cursoDisciplina!D37,disciplinaBase!$A$3:$A$53,0),MATCH(disciplinaBase!$B$3,disciplinaBase!$A$3:$C$3,0))</f>
        <v>Disciplina 4</v>
      </c>
      <c r="F37">
        <v>2</v>
      </c>
    </row>
    <row r="38" spans="1:6" x14ac:dyDescent="0.25">
      <c r="A38">
        <v>34</v>
      </c>
      <c r="B38" s="21">
        <v>3</v>
      </c>
      <c r="C38" s="21" t="str">
        <f>INDEX(cursos!$A$4:$C$19,MATCH(cursoDisciplina!B38,cursos!$A$4:$A$19,0),MATCH(cursos!$B$4,cursos!$A$4:$C$4,0))</f>
        <v>curso 3</v>
      </c>
      <c r="D38" s="21">
        <v>5</v>
      </c>
      <c r="E38" s="21" t="str">
        <f>INDEX(disciplinaBase!$A$3:$C$53,MATCH(cursoDisciplina!D38,disciplinaBase!$A$3:$A$53,0),MATCH(disciplinaBase!$B$3,disciplinaBase!$A$3:$C$3,0))</f>
        <v>Disciplina 5</v>
      </c>
      <c r="F38">
        <v>2</v>
      </c>
    </row>
    <row r="39" spans="1:6" x14ac:dyDescent="0.25">
      <c r="A39">
        <v>35</v>
      </c>
      <c r="B39" s="21">
        <v>3</v>
      </c>
      <c r="C39" s="21" t="str">
        <f>INDEX(cursos!$A$4:$C$19,MATCH(cursoDisciplina!B39,cursos!$A$4:$A$19,0),MATCH(cursos!$B$4,cursos!$A$4:$C$4,0))</f>
        <v>curso 3</v>
      </c>
      <c r="D39" s="21">
        <v>6</v>
      </c>
      <c r="E39" s="21" t="str">
        <f>INDEX(disciplinaBase!$A$3:$C$53,MATCH(cursoDisciplina!D39,disciplinaBase!$A$3:$A$53,0),MATCH(disciplinaBase!$B$3,disciplinaBase!$A$3:$C$3,0))</f>
        <v>Disciplina 6</v>
      </c>
      <c r="F39">
        <v>2</v>
      </c>
    </row>
    <row r="40" spans="1:6" x14ac:dyDescent="0.25">
      <c r="A40">
        <v>36</v>
      </c>
      <c r="B40" s="21">
        <v>3</v>
      </c>
      <c r="C40" s="21" t="str">
        <f>INDEX(cursos!$A$4:$C$19,MATCH(cursoDisciplina!B40,cursos!$A$4:$A$19,0),MATCH(cursos!$B$4,cursos!$A$4:$C$4,0))</f>
        <v>curso 3</v>
      </c>
      <c r="D40" s="21">
        <v>7</v>
      </c>
      <c r="E40" s="21" t="str">
        <f>INDEX(disciplinaBase!$A$3:$C$53,MATCH(cursoDisciplina!D40,disciplinaBase!$A$3:$A$53,0),MATCH(disciplinaBase!$B$3,disciplinaBase!$A$3:$C$3,0))</f>
        <v>Disciplina 7</v>
      </c>
      <c r="F40">
        <v>2</v>
      </c>
    </row>
    <row r="41" spans="1:6" x14ac:dyDescent="0.25">
      <c r="A41">
        <v>37</v>
      </c>
      <c r="B41" s="21">
        <v>3</v>
      </c>
      <c r="C41" s="21" t="str">
        <f>INDEX(cursos!$A$4:$C$19,MATCH(cursoDisciplina!B41,cursos!$A$4:$A$19,0),MATCH(cursos!$B$4,cursos!$A$4:$C$4,0))</f>
        <v>curso 3</v>
      </c>
      <c r="D41" s="21">
        <v>8</v>
      </c>
      <c r="E41" s="21" t="str">
        <f>INDEX(disciplinaBase!$A$3:$C$53,MATCH(cursoDisciplina!D41,disciplinaBase!$A$3:$A$53,0),MATCH(disciplinaBase!$B$3,disciplinaBase!$A$3:$C$3,0))</f>
        <v>Disciplina 8</v>
      </c>
      <c r="F41">
        <v>2</v>
      </c>
    </row>
    <row r="42" spans="1:6" x14ac:dyDescent="0.25">
      <c r="A42">
        <v>38</v>
      </c>
      <c r="B42" s="21">
        <v>3</v>
      </c>
      <c r="C42" s="21" t="str">
        <f>INDEX(cursos!$A$4:$C$19,MATCH(cursoDisciplina!B42,cursos!$A$4:$A$19,0),MATCH(cursos!$B$4,cursos!$A$4:$C$4,0))</f>
        <v>curso 3</v>
      </c>
      <c r="D42" s="21">
        <v>9</v>
      </c>
      <c r="E42" s="21" t="str">
        <f>INDEX(disciplinaBase!$A$3:$C$53,MATCH(cursoDisciplina!D42,disciplinaBase!$A$3:$A$53,0),MATCH(disciplinaBase!$B$3,disciplinaBase!$A$3:$C$3,0))</f>
        <v>Disciplina 9</v>
      </c>
      <c r="F42">
        <v>2</v>
      </c>
    </row>
    <row r="43" spans="1:6" x14ac:dyDescent="0.25">
      <c r="A43">
        <v>39</v>
      </c>
      <c r="B43" s="21">
        <v>3</v>
      </c>
      <c r="C43" s="21" t="str">
        <f>INDEX(cursos!$A$4:$C$19,MATCH(cursoDisciplina!B43,cursos!$A$4:$A$19,0),MATCH(cursos!$B$4,cursos!$A$4:$C$4,0))</f>
        <v>curso 3</v>
      </c>
      <c r="D43" s="21">
        <v>10</v>
      </c>
      <c r="E43" s="21" t="str">
        <f>INDEX(disciplinaBase!$A$3:$C$53,MATCH(cursoDisciplina!D43,disciplinaBase!$A$3:$A$53,0),MATCH(disciplinaBase!$B$3,disciplinaBase!$A$3:$C$3,0))</f>
        <v>Disciplina 10</v>
      </c>
      <c r="F43">
        <v>2</v>
      </c>
    </row>
    <row r="44" spans="1:6" x14ac:dyDescent="0.25">
      <c r="A44">
        <v>40</v>
      </c>
      <c r="B44" s="21">
        <v>3</v>
      </c>
      <c r="C44" s="21" t="str">
        <f>INDEX(cursos!$A$4:$C$19,MATCH(cursoDisciplina!B44,cursos!$A$4:$A$19,0),MATCH(cursos!$B$4,cursos!$A$4:$C$4,0))</f>
        <v>curso 3</v>
      </c>
      <c r="D44" s="21">
        <v>11</v>
      </c>
      <c r="E44" s="21" t="str">
        <f>INDEX(disciplinaBase!$A$3:$C$53,MATCH(cursoDisciplina!D44,disciplinaBase!$A$3:$A$53,0),MATCH(disciplinaBase!$B$3,disciplinaBase!$A$3:$C$3,0))</f>
        <v>Disciplina 11</v>
      </c>
      <c r="F44">
        <v>2</v>
      </c>
    </row>
    <row r="45" spans="1:6" x14ac:dyDescent="0.25">
      <c r="A45">
        <v>41</v>
      </c>
      <c r="B45" s="21">
        <v>3</v>
      </c>
      <c r="C45" s="21" t="str">
        <f>INDEX(cursos!$A$4:$C$19,MATCH(cursoDisciplina!B45,cursos!$A$4:$A$19,0),MATCH(cursos!$B$4,cursos!$A$4:$C$4,0))</f>
        <v>curso 3</v>
      </c>
      <c r="D45" s="21">
        <v>12</v>
      </c>
      <c r="E45" s="21" t="str">
        <f>INDEX(disciplinaBase!$A$3:$C$53,MATCH(cursoDisciplina!D45,disciplinaBase!$A$3:$A$53,0),MATCH(disciplinaBase!$B$3,disciplinaBase!$A$3:$C$3,0))</f>
        <v>Disciplina 12</v>
      </c>
      <c r="F45">
        <v>2</v>
      </c>
    </row>
    <row r="46" spans="1:6" x14ac:dyDescent="0.25">
      <c r="A46">
        <v>42</v>
      </c>
      <c r="B46" s="21">
        <v>3</v>
      </c>
      <c r="C46" s="21" t="str">
        <f>INDEX(cursos!$A$4:$C$19,MATCH(cursoDisciplina!B46,cursos!$A$4:$A$19,0),MATCH(cursos!$B$4,cursos!$A$4:$C$4,0))</f>
        <v>curso 3</v>
      </c>
      <c r="D46" s="21">
        <v>13</v>
      </c>
      <c r="E46" s="21" t="str">
        <f>INDEX(disciplinaBase!$A$3:$C$53,MATCH(cursoDisciplina!D46,disciplinaBase!$A$3:$A$53,0),MATCH(disciplinaBase!$B$3,disciplinaBase!$A$3:$C$3,0))</f>
        <v>Disciplina 13</v>
      </c>
      <c r="F46">
        <v>2</v>
      </c>
    </row>
    <row r="47" spans="1:6" x14ac:dyDescent="0.25">
      <c r="A47">
        <v>43</v>
      </c>
      <c r="B47" s="21">
        <v>3</v>
      </c>
      <c r="C47" s="21" t="str">
        <f>INDEX(cursos!$A$4:$C$19,MATCH(cursoDisciplina!B47,cursos!$A$4:$A$19,0),MATCH(cursos!$B$4,cursos!$A$4:$C$4,0))</f>
        <v>curso 3</v>
      </c>
      <c r="D47" s="21">
        <v>14</v>
      </c>
      <c r="E47" s="21" t="str">
        <f>INDEX(disciplinaBase!$A$3:$C$53,MATCH(cursoDisciplina!D47,disciplinaBase!$A$3:$A$53,0),MATCH(disciplinaBase!$B$3,disciplinaBase!$A$3:$C$3,0))</f>
        <v>Disciplina 14</v>
      </c>
      <c r="F47">
        <v>2</v>
      </c>
    </row>
    <row r="48" spans="1:6" x14ac:dyDescent="0.25">
      <c r="A48">
        <v>44</v>
      </c>
      <c r="B48" s="21">
        <v>3</v>
      </c>
      <c r="C48" s="21" t="str">
        <f>INDEX(cursos!$A$4:$C$19,MATCH(cursoDisciplina!B48,cursos!$A$4:$A$19,0),MATCH(cursos!$B$4,cursos!$A$4:$C$4,0))</f>
        <v>curso 3</v>
      </c>
      <c r="D48" s="21">
        <v>15</v>
      </c>
      <c r="E48" s="21" t="str">
        <f>INDEX(disciplinaBase!$A$3:$C$53,MATCH(cursoDisciplina!D48,disciplinaBase!$A$3:$A$53,0),MATCH(disciplinaBase!$B$3,disciplinaBase!$A$3:$C$3,0))</f>
        <v>Disciplina 15</v>
      </c>
      <c r="F48">
        <v>2</v>
      </c>
    </row>
    <row r="49" spans="1:6" x14ac:dyDescent="0.25">
      <c r="A49">
        <v>45</v>
      </c>
      <c r="B49" s="21">
        <v>3</v>
      </c>
      <c r="C49" s="21" t="str">
        <f>INDEX(cursos!$A$4:$C$19,MATCH(cursoDisciplina!B49,cursos!$A$4:$A$19,0),MATCH(cursos!$B$4,cursos!$A$4:$C$4,0))</f>
        <v>curso 3</v>
      </c>
      <c r="D49" s="21">
        <v>16</v>
      </c>
      <c r="E49" s="21" t="str">
        <f>INDEX(disciplinaBase!$A$3:$C$53,MATCH(cursoDisciplina!D49,disciplinaBase!$A$3:$A$53,0),MATCH(disciplinaBase!$B$3,disciplinaBase!$A$3:$C$3,0))</f>
        <v>Disciplina 16</v>
      </c>
      <c r="F49">
        <v>2</v>
      </c>
    </row>
    <row r="50" spans="1:6" x14ac:dyDescent="0.25">
      <c r="A50">
        <v>46</v>
      </c>
      <c r="B50" s="21">
        <v>3</v>
      </c>
      <c r="C50" s="21" t="str">
        <f>INDEX(cursos!$A$4:$C$19,MATCH(cursoDisciplina!B50,cursos!$A$4:$A$19,0),MATCH(cursos!$B$4,cursos!$A$4:$C$4,0))</f>
        <v>curso 3</v>
      </c>
      <c r="D50" s="21">
        <v>17</v>
      </c>
      <c r="E50" s="21" t="str">
        <f>INDEX(disciplinaBase!$A$3:$C$53,MATCH(cursoDisciplina!D50,disciplinaBase!$A$3:$A$53,0),MATCH(disciplinaBase!$B$3,disciplinaBase!$A$3:$C$3,0))</f>
        <v>Disciplina 17</v>
      </c>
      <c r="F50">
        <v>2</v>
      </c>
    </row>
    <row r="51" spans="1:6" x14ac:dyDescent="0.25">
      <c r="A51">
        <v>47</v>
      </c>
      <c r="B51" s="21">
        <v>3</v>
      </c>
      <c r="C51" s="21" t="str">
        <f>INDEX(cursos!$A$4:$C$19,MATCH(cursoDisciplina!B51,cursos!$A$4:$A$19,0),MATCH(cursos!$B$4,cursos!$A$4:$C$4,0))</f>
        <v>curso 3</v>
      </c>
      <c r="D51" s="21">
        <v>18</v>
      </c>
      <c r="E51" s="21" t="str">
        <f>INDEX(disciplinaBase!$A$3:$C$53,MATCH(cursoDisciplina!D51,disciplinaBase!$A$3:$A$53,0),MATCH(disciplinaBase!$B$3,disciplinaBase!$A$3:$C$3,0))</f>
        <v>Disciplina 18</v>
      </c>
      <c r="F51">
        <v>2</v>
      </c>
    </row>
    <row r="52" spans="1:6" x14ac:dyDescent="0.25">
      <c r="A52">
        <v>48</v>
      </c>
      <c r="B52" s="21">
        <v>3</v>
      </c>
      <c r="C52" s="21" t="str">
        <f>INDEX(cursos!$A$4:$C$19,MATCH(cursoDisciplina!B52,cursos!$A$4:$A$19,0),MATCH(cursos!$B$4,cursos!$A$4:$C$4,0))</f>
        <v>curso 3</v>
      </c>
      <c r="D52" s="21">
        <v>19</v>
      </c>
      <c r="E52" s="21" t="str">
        <f>INDEX(disciplinaBase!$A$3:$C$53,MATCH(cursoDisciplina!D52,disciplinaBase!$A$3:$A$53,0),MATCH(disciplinaBase!$B$3,disciplinaBase!$A$3:$C$3,0))</f>
        <v>Disciplina 19</v>
      </c>
      <c r="F52">
        <v>2</v>
      </c>
    </row>
    <row r="53" spans="1:6" x14ac:dyDescent="0.25">
      <c r="A53">
        <v>49</v>
      </c>
      <c r="B53" s="21">
        <v>3</v>
      </c>
      <c r="C53" s="21" t="str">
        <f>INDEX(cursos!$A$4:$C$19,MATCH(cursoDisciplina!B53,cursos!$A$4:$A$19,0),MATCH(cursos!$B$4,cursos!$A$4:$C$4,0))</f>
        <v>curso 3</v>
      </c>
      <c r="D53" s="21">
        <v>20</v>
      </c>
      <c r="E53" s="21" t="str">
        <f>INDEX(disciplinaBase!$A$3:$C$53,MATCH(cursoDisciplina!D53,disciplinaBase!$A$3:$A$53,0),MATCH(disciplinaBase!$B$3,disciplinaBase!$A$3:$C$3,0))</f>
        <v>Disciplina 20</v>
      </c>
      <c r="F53">
        <v>2</v>
      </c>
    </row>
    <row r="54" spans="1:6" x14ac:dyDescent="0.25">
      <c r="A54">
        <v>50</v>
      </c>
      <c r="B54" s="21">
        <v>3</v>
      </c>
      <c r="C54" s="21" t="str">
        <f>INDEX(cursos!$A$4:$C$19,MATCH(cursoDisciplina!B54,cursos!$A$4:$A$19,0),MATCH(cursos!$B$4,cursos!$A$4:$C$4,0))</f>
        <v>curso 3</v>
      </c>
      <c r="D54" s="21">
        <v>21</v>
      </c>
      <c r="E54" s="21" t="str">
        <f>INDEX(disciplinaBase!$A$3:$C$53,MATCH(cursoDisciplina!D54,disciplinaBase!$A$3:$A$53,0),MATCH(disciplinaBase!$B$3,disciplinaBase!$A$3:$C$3,0))</f>
        <v>Disciplina 21</v>
      </c>
      <c r="F54">
        <v>2</v>
      </c>
    </row>
    <row r="55" spans="1:6" x14ac:dyDescent="0.25">
      <c r="A55">
        <v>51</v>
      </c>
      <c r="B55" s="21">
        <v>3</v>
      </c>
      <c r="C55" s="21" t="str">
        <f>INDEX(cursos!$A$4:$C$19,MATCH(cursoDisciplina!B55,cursos!$A$4:$A$19,0),MATCH(cursos!$B$4,cursos!$A$4:$C$4,0))</f>
        <v>curso 3</v>
      </c>
      <c r="D55" s="21">
        <v>22</v>
      </c>
      <c r="E55" s="21" t="str">
        <f>INDEX(disciplinaBase!$A$3:$C$53,MATCH(cursoDisciplina!D55,disciplinaBase!$A$3:$A$53,0),MATCH(disciplinaBase!$B$3,disciplinaBase!$A$3:$C$3,0))</f>
        <v>Disciplina 22</v>
      </c>
      <c r="F55">
        <v>2</v>
      </c>
    </row>
    <row r="56" spans="1:6" x14ac:dyDescent="0.25">
      <c r="A56">
        <v>52</v>
      </c>
      <c r="B56" s="21">
        <v>3</v>
      </c>
      <c r="C56" s="21" t="str">
        <f>INDEX(cursos!$A$4:$C$19,MATCH(cursoDisciplina!B56,cursos!$A$4:$A$19,0),MATCH(cursos!$B$4,cursos!$A$4:$C$4,0))</f>
        <v>curso 3</v>
      </c>
      <c r="D56" s="21">
        <v>23</v>
      </c>
      <c r="E56" s="21" t="str">
        <f>INDEX(disciplinaBase!$A$3:$C$53,MATCH(cursoDisciplina!D56,disciplinaBase!$A$3:$A$53,0),MATCH(disciplinaBase!$B$3,disciplinaBase!$A$3:$C$3,0))</f>
        <v>Disciplina 23</v>
      </c>
      <c r="F56">
        <v>2</v>
      </c>
    </row>
    <row r="57" spans="1:6" x14ac:dyDescent="0.25">
      <c r="A57">
        <v>53</v>
      </c>
      <c r="B57" s="21">
        <v>3</v>
      </c>
      <c r="C57" s="21" t="str">
        <f>INDEX(cursos!$A$4:$C$19,MATCH(cursoDisciplina!B57,cursos!$A$4:$A$19,0),MATCH(cursos!$B$4,cursos!$A$4:$C$4,0))</f>
        <v>curso 3</v>
      </c>
      <c r="D57" s="21">
        <v>24</v>
      </c>
      <c r="E57" s="21" t="str">
        <f>INDEX(disciplinaBase!$A$3:$C$53,MATCH(cursoDisciplina!D57,disciplinaBase!$A$3:$A$53,0),MATCH(disciplinaBase!$B$3,disciplinaBase!$A$3:$C$3,0))</f>
        <v>Disciplina 24</v>
      </c>
      <c r="F57">
        <v>2</v>
      </c>
    </row>
    <row r="58" spans="1:6" x14ac:dyDescent="0.25">
      <c r="A58">
        <v>54</v>
      </c>
      <c r="B58" s="21">
        <v>3</v>
      </c>
      <c r="C58" s="21" t="str">
        <f>INDEX(cursos!$A$4:$C$19,MATCH(cursoDisciplina!B58,cursos!$A$4:$A$19,0),MATCH(cursos!$B$4,cursos!$A$4:$C$4,0))</f>
        <v>curso 3</v>
      </c>
      <c r="D58" s="21">
        <v>25</v>
      </c>
      <c r="E58" s="21" t="str">
        <f>INDEX(disciplinaBase!$A$3:$C$53,MATCH(cursoDisciplina!D58,disciplinaBase!$A$3:$A$53,0),MATCH(disciplinaBase!$B$3,disciplinaBase!$A$3:$C$3,0))</f>
        <v>Disciplina 25</v>
      </c>
      <c r="F58">
        <v>2</v>
      </c>
    </row>
    <row r="59" spans="1:6" x14ac:dyDescent="0.25">
      <c r="A59">
        <v>55</v>
      </c>
      <c r="B59" s="21">
        <v>4</v>
      </c>
      <c r="C59" s="21" t="str">
        <f>INDEX(cursos!$A$4:$C$19,MATCH(cursoDisciplina!B59,cursos!$A$4:$A$19,0),MATCH(cursos!$B$4,cursos!$A$4:$C$4,0))</f>
        <v>curso 4</v>
      </c>
      <c r="D59" s="21">
        <v>1</v>
      </c>
      <c r="E59" s="21" t="str">
        <f>INDEX(disciplinaBase!$A$3:$C$53,MATCH(cursoDisciplina!D59,disciplinaBase!$A$3:$A$53,0),MATCH(disciplinaBase!$B$3,disciplinaBase!$A$3:$C$3,0))</f>
        <v>laboratóeio de engenharia de Software</v>
      </c>
      <c r="F59">
        <v>2</v>
      </c>
    </row>
    <row r="60" spans="1:6" x14ac:dyDescent="0.25">
      <c r="A60">
        <v>56</v>
      </c>
      <c r="B60" s="21">
        <v>4</v>
      </c>
      <c r="C60" s="21" t="str">
        <f>INDEX(cursos!$A$4:$C$19,MATCH(cursoDisciplina!B60,cursos!$A$4:$A$19,0),MATCH(cursos!$B$4,cursos!$A$4:$C$4,0))</f>
        <v>curso 4</v>
      </c>
      <c r="D60" s="21">
        <v>2</v>
      </c>
      <c r="E60" s="21" t="str">
        <f>INDEX(disciplinaBase!$A$3:$C$53,MATCH(cursoDisciplina!D60,disciplinaBase!$A$3:$A$53,0),MATCH(disciplinaBase!$B$3,disciplinaBase!$A$3:$C$3,0))</f>
        <v>Estrutura de Dados</v>
      </c>
      <c r="F60">
        <v>2</v>
      </c>
    </row>
    <row r="61" spans="1:6" x14ac:dyDescent="0.25">
      <c r="A61">
        <v>57</v>
      </c>
      <c r="B61" s="21">
        <v>4</v>
      </c>
      <c r="C61" s="21" t="str">
        <f>INDEX(cursos!$A$4:$C$19,MATCH(cursoDisciplina!B61,cursos!$A$4:$A$19,0),MATCH(cursos!$B$4,cursos!$A$4:$C$4,0))</f>
        <v>curso 4</v>
      </c>
      <c r="D61" s="21">
        <v>3</v>
      </c>
      <c r="E61" s="21" t="str">
        <f>INDEX(disciplinaBase!$A$3:$C$53,MATCH(cursoDisciplina!D61,disciplinaBase!$A$3:$A$53,0),MATCH(disciplinaBase!$B$3,disciplinaBase!$A$3:$C$3,0))</f>
        <v>PEM</v>
      </c>
      <c r="F61">
        <v>2</v>
      </c>
    </row>
    <row r="62" spans="1:6" x14ac:dyDescent="0.25">
      <c r="A62">
        <v>58</v>
      </c>
      <c r="B62" s="21">
        <v>4</v>
      </c>
      <c r="C62" s="21" t="str">
        <f>INDEX(cursos!$A$4:$C$19,MATCH(cursoDisciplina!B62,cursos!$A$4:$A$19,0),MATCH(cursos!$B$4,cursos!$A$4:$C$4,0))</f>
        <v>curso 4</v>
      </c>
      <c r="D62" s="21">
        <v>4</v>
      </c>
      <c r="E62" s="21" t="str">
        <f>INDEX(disciplinaBase!$A$3:$C$53,MATCH(cursoDisciplina!D62,disciplinaBase!$A$3:$A$53,0),MATCH(disciplinaBase!$B$3,disciplinaBase!$A$3:$C$3,0))</f>
        <v>Disciplina 4</v>
      </c>
      <c r="F62">
        <v>2</v>
      </c>
    </row>
    <row r="63" spans="1:6" x14ac:dyDescent="0.25">
      <c r="A63">
        <v>59</v>
      </c>
      <c r="B63" s="21">
        <v>4</v>
      </c>
      <c r="C63" s="21" t="str">
        <f>INDEX(cursos!$A$4:$C$19,MATCH(cursoDisciplina!B63,cursos!$A$4:$A$19,0),MATCH(cursos!$B$4,cursos!$A$4:$C$4,0))</f>
        <v>curso 4</v>
      </c>
      <c r="D63" s="21">
        <v>5</v>
      </c>
      <c r="E63" s="21" t="str">
        <f>INDEX(disciplinaBase!$A$3:$C$53,MATCH(cursoDisciplina!D63,disciplinaBase!$A$3:$A$53,0),MATCH(disciplinaBase!$B$3,disciplinaBase!$A$3:$C$3,0))</f>
        <v>Disciplina 5</v>
      </c>
      <c r="F63">
        <v>2</v>
      </c>
    </row>
    <row r="64" spans="1:6" x14ac:dyDescent="0.25">
      <c r="A64">
        <v>60</v>
      </c>
      <c r="B64" s="21">
        <v>4</v>
      </c>
      <c r="C64" s="21" t="str">
        <f>INDEX(cursos!$A$4:$C$19,MATCH(cursoDisciplina!B64,cursos!$A$4:$A$19,0),MATCH(cursos!$B$4,cursos!$A$4:$C$4,0))</f>
        <v>curso 4</v>
      </c>
      <c r="D64" s="21">
        <v>6</v>
      </c>
      <c r="E64" s="21" t="str">
        <f>INDEX(disciplinaBase!$A$3:$C$53,MATCH(cursoDisciplina!D64,disciplinaBase!$A$3:$A$53,0),MATCH(disciplinaBase!$B$3,disciplinaBase!$A$3:$C$3,0))</f>
        <v>Disciplina 6</v>
      </c>
      <c r="F64">
        <v>2</v>
      </c>
    </row>
    <row r="65" spans="1:6" x14ac:dyDescent="0.25">
      <c r="A65">
        <v>61</v>
      </c>
      <c r="B65" s="21">
        <v>4</v>
      </c>
      <c r="C65" s="21" t="str">
        <f>INDEX(cursos!$A$4:$C$19,MATCH(cursoDisciplina!B65,cursos!$A$4:$A$19,0),MATCH(cursos!$B$4,cursos!$A$4:$C$4,0))</f>
        <v>curso 4</v>
      </c>
      <c r="D65" s="21">
        <v>7</v>
      </c>
      <c r="E65" s="21" t="str">
        <f>INDEX(disciplinaBase!$A$3:$C$53,MATCH(cursoDisciplina!D65,disciplinaBase!$A$3:$A$53,0),MATCH(disciplinaBase!$B$3,disciplinaBase!$A$3:$C$3,0))</f>
        <v>Disciplina 7</v>
      </c>
      <c r="F65">
        <v>2</v>
      </c>
    </row>
    <row r="66" spans="1:6" x14ac:dyDescent="0.25">
      <c r="A66">
        <v>62</v>
      </c>
      <c r="B66" s="21">
        <v>4</v>
      </c>
      <c r="C66" s="21" t="str">
        <f>INDEX(cursos!$A$4:$C$19,MATCH(cursoDisciplina!B66,cursos!$A$4:$A$19,0),MATCH(cursos!$B$4,cursos!$A$4:$C$4,0))</f>
        <v>curso 4</v>
      </c>
      <c r="D66" s="21">
        <v>8</v>
      </c>
      <c r="E66" s="21" t="str">
        <f>INDEX(disciplinaBase!$A$3:$C$53,MATCH(cursoDisciplina!D66,disciplinaBase!$A$3:$A$53,0),MATCH(disciplinaBase!$B$3,disciplinaBase!$A$3:$C$3,0))</f>
        <v>Disciplina 8</v>
      </c>
      <c r="F66">
        <v>2</v>
      </c>
    </row>
    <row r="67" spans="1:6" x14ac:dyDescent="0.25">
      <c r="A67">
        <v>63</v>
      </c>
      <c r="B67" s="21">
        <v>4</v>
      </c>
      <c r="C67" s="21" t="str">
        <f>INDEX(cursos!$A$4:$C$19,MATCH(cursoDisciplina!B67,cursos!$A$4:$A$19,0),MATCH(cursos!$B$4,cursos!$A$4:$C$4,0))</f>
        <v>curso 4</v>
      </c>
      <c r="D67" s="21">
        <v>9</v>
      </c>
      <c r="E67" s="21" t="str">
        <f>INDEX(disciplinaBase!$A$3:$C$53,MATCH(cursoDisciplina!D67,disciplinaBase!$A$3:$A$53,0),MATCH(disciplinaBase!$B$3,disciplinaBase!$A$3:$C$3,0))</f>
        <v>Disciplina 9</v>
      </c>
      <c r="F67">
        <v>2</v>
      </c>
    </row>
    <row r="68" spans="1:6" x14ac:dyDescent="0.25">
      <c r="A68">
        <v>64</v>
      </c>
      <c r="B68" s="21">
        <v>4</v>
      </c>
      <c r="C68" s="21" t="str">
        <f>INDEX(cursos!$A$4:$C$19,MATCH(cursoDisciplina!B68,cursos!$A$4:$A$19,0),MATCH(cursos!$B$4,cursos!$A$4:$C$4,0))</f>
        <v>curso 4</v>
      </c>
      <c r="D68" s="21">
        <v>10</v>
      </c>
      <c r="E68" s="21" t="str">
        <f>INDEX(disciplinaBase!$A$3:$C$53,MATCH(cursoDisciplina!D68,disciplinaBase!$A$3:$A$53,0),MATCH(disciplinaBase!$B$3,disciplinaBase!$A$3:$C$3,0))</f>
        <v>Disciplina 10</v>
      </c>
      <c r="F68">
        <v>2</v>
      </c>
    </row>
    <row r="69" spans="1:6" x14ac:dyDescent="0.25">
      <c r="A69">
        <v>65</v>
      </c>
      <c r="B69" s="21">
        <v>4</v>
      </c>
      <c r="C69" s="21" t="str">
        <f>INDEX(cursos!$A$4:$C$19,MATCH(cursoDisciplina!B69,cursos!$A$4:$A$19,0),MATCH(cursos!$B$4,cursos!$A$4:$C$4,0))</f>
        <v>curso 4</v>
      </c>
      <c r="D69" s="21">
        <v>11</v>
      </c>
      <c r="E69" s="21" t="str">
        <f>INDEX(disciplinaBase!$A$3:$C$53,MATCH(cursoDisciplina!D69,disciplinaBase!$A$3:$A$53,0),MATCH(disciplinaBase!$B$3,disciplinaBase!$A$3:$C$3,0))</f>
        <v>Disciplina 11</v>
      </c>
      <c r="F69">
        <v>2</v>
      </c>
    </row>
    <row r="70" spans="1:6" x14ac:dyDescent="0.25">
      <c r="A70">
        <v>66</v>
      </c>
      <c r="B70" s="21">
        <v>4</v>
      </c>
      <c r="C70" s="21" t="str">
        <f>INDEX(cursos!$A$4:$C$19,MATCH(cursoDisciplina!B70,cursos!$A$4:$A$19,0),MATCH(cursos!$B$4,cursos!$A$4:$C$4,0))</f>
        <v>curso 4</v>
      </c>
      <c r="D70" s="21">
        <v>12</v>
      </c>
      <c r="E70" s="21" t="str">
        <f>INDEX(disciplinaBase!$A$3:$C$53,MATCH(cursoDisciplina!D70,disciplinaBase!$A$3:$A$53,0),MATCH(disciplinaBase!$B$3,disciplinaBase!$A$3:$C$3,0))</f>
        <v>Disciplina 12</v>
      </c>
      <c r="F70">
        <v>2</v>
      </c>
    </row>
    <row r="71" spans="1:6" x14ac:dyDescent="0.25">
      <c r="A71">
        <v>67</v>
      </c>
      <c r="B71" s="21">
        <v>4</v>
      </c>
      <c r="C71" s="21" t="str">
        <f>INDEX(cursos!$A$4:$C$19,MATCH(cursoDisciplina!B71,cursos!$A$4:$A$19,0),MATCH(cursos!$B$4,cursos!$A$4:$C$4,0))</f>
        <v>curso 4</v>
      </c>
      <c r="D71" s="21">
        <v>13</v>
      </c>
      <c r="E71" s="21" t="str">
        <f>INDEX(disciplinaBase!$A$3:$C$53,MATCH(cursoDisciplina!D71,disciplinaBase!$A$3:$A$53,0),MATCH(disciplinaBase!$B$3,disciplinaBase!$A$3:$C$3,0))</f>
        <v>Disciplina 13</v>
      </c>
      <c r="F71">
        <v>2</v>
      </c>
    </row>
    <row r="72" spans="1:6" x14ac:dyDescent="0.25">
      <c r="A72">
        <v>68</v>
      </c>
      <c r="B72" s="21">
        <v>4</v>
      </c>
      <c r="C72" s="21" t="str">
        <f>INDEX(cursos!$A$4:$C$19,MATCH(cursoDisciplina!B72,cursos!$A$4:$A$19,0),MATCH(cursos!$B$4,cursos!$A$4:$C$4,0))</f>
        <v>curso 4</v>
      </c>
      <c r="D72" s="21">
        <v>14</v>
      </c>
      <c r="E72" s="21" t="str">
        <f>INDEX(disciplinaBase!$A$3:$C$53,MATCH(cursoDisciplina!D72,disciplinaBase!$A$3:$A$53,0),MATCH(disciplinaBase!$B$3,disciplinaBase!$A$3:$C$3,0))</f>
        <v>Disciplina 14</v>
      </c>
      <c r="F72">
        <v>2</v>
      </c>
    </row>
    <row r="73" spans="1:6" x14ac:dyDescent="0.25">
      <c r="A73">
        <v>69</v>
      </c>
      <c r="B73" s="21">
        <v>4</v>
      </c>
      <c r="C73" s="21" t="str">
        <f>INDEX(cursos!$A$4:$C$19,MATCH(cursoDisciplina!B73,cursos!$A$4:$A$19,0),MATCH(cursos!$B$4,cursos!$A$4:$C$4,0))</f>
        <v>curso 4</v>
      </c>
      <c r="D73" s="21">
        <v>15</v>
      </c>
      <c r="E73" s="21" t="str">
        <f>INDEX(disciplinaBase!$A$3:$C$53,MATCH(cursoDisciplina!D73,disciplinaBase!$A$3:$A$53,0),MATCH(disciplinaBase!$B$3,disciplinaBase!$A$3:$C$3,0))</f>
        <v>Disciplina 15</v>
      </c>
      <c r="F73">
        <v>2</v>
      </c>
    </row>
    <row r="74" spans="1:6" x14ac:dyDescent="0.25">
      <c r="A74">
        <v>70</v>
      </c>
      <c r="B74" s="21">
        <v>5</v>
      </c>
      <c r="C74" s="21" t="str">
        <f>INDEX(cursos!$A$4:$C$19,MATCH(cursoDisciplina!B74,cursos!$A$4:$A$19,0),MATCH(cursos!$B$4,cursos!$A$4:$C$4,0))</f>
        <v>curso 5</v>
      </c>
      <c r="D74" s="21">
        <v>1</v>
      </c>
      <c r="E74" s="21" t="str">
        <f>INDEX(disciplinaBase!$A$3:$C$53,MATCH(cursoDisciplina!D74,disciplinaBase!$A$3:$A$53,0),MATCH(disciplinaBase!$B$3,disciplinaBase!$A$3:$C$3,0))</f>
        <v>laboratóeio de engenharia de Software</v>
      </c>
      <c r="F74">
        <v>2</v>
      </c>
    </row>
    <row r="75" spans="1:6" x14ac:dyDescent="0.25">
      <c r="A75">
        <v>71</v>
      </c>
      <c r="B75" s="21">
        <v>5</v>
      </c>
      <c r="C75" s="21" t="str">
        <f>INDEX(cursos!$A$4:$C$19,MATCH(cursoDisciplina!B75,cursos!$A$4:$A$19,0),MATCH(cursos!$B$4,cursos!$A$4:$C$4,0))</f>
        <v>curso 5</v>
      </c>
      <c r="D75" s="21">
        <v>2</v>
      </c>
      <c r="E75" s="21" t="str">
        <f>INDEX(disciplinaBase!$A$3:$C$53,MATCH(cursoDisciplina!D75,disciplinaBase!$A$3:$A$53,0),MATCH(disciplinaBase!$B$3,disciplinaBase!$A$3:$C$3,0))</f>
        <v>Estrutura de Dados</v>
      </c>
      <c r="F75">
        <v>2</v>
      </c>
    </row>
    <row r="76" spans="1:6" x14ac:dyDescent="0.25">
      <c r="A76">
        <v>72</v>
      </c>
      <c r="B76" s="21">
        <v>5</v>
      </c>
      <c r="C76" s="21" t="str">
        <f>INDEX(cursos!$A$4:$C$19,MATCH(cursoDisciplina!B76,cursos!$A$4:$A$19,0),MATCH(cursos!$B$4,cursos!$A$4:$C$4,0))</f>
        <v>curso 5</v>
      </c>
      <c r="D76" s="21">
        <v>3</v>
      </c>
      <c r="E76" s="21" t="str">
        <f>INDEX(disciplinaBase!$A$3:$C$53,MATCH(cursoDisciplina!D76,disciplinaBase!$A$3:$A$53,0),MATCH(disciplinaBase!$B$3,disciplinaBase!$A$3:$C$3,0))</f>
        <v>PEM</v>
      </c>
      <c r="F76">
        <v>2</v>
      </c>
    </row>
    <row r="77" spans="1:6" x14ac:dyDescent="0.25">
      <c r="A77">
        <v>73</v>
      </c>
      <c r="B77" s="21">
        <v>5</v>
      </c>
      <c r="C77" s="21" t="str">
        <f>INDEX(cursos!$A$4:$C$19,MATCH(cursoDisciplina!B77,cursos!$A$4:$A$19,0),MATCH(cursos!$B$4,cursos!$A$4:$C$4,0))</f>
        <v>curso 5</v>
      </c>
      <c r="D77" s="21">
        <v>4</v>
      </c>
      <c r="E77" s="21" t="str">
        <f>INDEX(disciplinaBase!$A$3:$C$53,MATCH(cursoDisciplina!D77,disciplinaBase!$A$3:$A$53,0),MATCH(disciplinaBase!$B$3,disciplinaBase!$A$3:$C$3,0))</f>
        <v>Disciplina 4</v>
      </c>
      <c r="F77">
        <v>2</v>
      </c>
    </row>
    <row r="78" spans="1:6" x14ac:dyDescent="0.25">
      <c r="A78">
        <v>74</v>
      </c>
      <c r="B78" s="21">
        <v>5</v>
      </c>
      <c r="C78" s="21" t="str">
        <f>INDEX(cursos!$A$4:$C$19,MATCH(cursoDisciplina!B78,cursos!$A$4:$A$19,0),MATCH(cursos!$B$4,cursos!$A$4:$C$4,0))</f>
        <v>curso 5</v>
      </c>
      <c r="D78" s="21">
        <v>5</v>
      </c>
      <c r="E78" s="21" t="str">
        <f>INDEX(disciplinaBase!$A$3:$C$53,MATCH(cursoDisciplina!D78,disciplinaBase!$A$3:$A$53,0),MATCH(disciplinaBase!$B$3,disciplinaBase!$A$3:$C$3,0))</f>
        <v>Disciplina 5</v>
      </c>
      <c r="F78">
        <v>2</v>
      </c>
    </row>
    <row r="79" spans="1:6" x14ac:dyDescent="0.25">
      <c r="A79">
        <v>75</v>
      </c>
      <c r="B79" s="21">
        <v>5</v>
      </c>
      <c r="C79" s="21" t="str">
        <f>INDEX(cursos!$A$4:$C$19,MATCH(cursoDisciplina!B79,cursos!$A$4:$A$19,0),MATCH(cursos!$B$4,cursos!$A$4:$C$4,0))</f>
        <v>curso 5</v>
      </c>
      <c r="D79" s="21">
        <v>6</v>
      </c>
      <c r="E79" s="21" t="str">
        <f>INDEX(disciplinaBase!$A$3:$C$53,MATCH(cursoDisciplina!D79,disciplinaBase!$A$3:$A$53,0),MATCH(disciplinaBase!$B$3,disciplinaBase!$A$3:$C$3,0))</f>
        <v>Disciplina 6</v>
      </c>
      <c r="F79">
        <v>2</v>
      </c>
    </row>
    <row r="80" spans="1:6" x14ac:dyDescent="0.25">
      <c r="A80">
        <v>76</v>
      </c>
      <c r="B80" s="21">
        <v>5</v>
      </c>
      <c r="C80" s="21" t="str">
        <f>INDEX(cursos!$A$4:$C$19,MATCH(cursoDisciplina!B80,cursos!$A$4:$A$19,0),MATCH(cursos!$B$4,cursos!$A$4:$C$4,0))</f>
        <v>curso 5</v>
      </c>
      <c r="D80" s="21">
        <v>7</v>
      </c>
      <c r="E80" s="21" t="str">
        <f>INDEX(disciplinaBase!$A$3:$C$53,MATCH(cursoDisciplina!D80,disciplinaBase!$A$3:$A$53,0),MATCH(disciplinaBase!$B$3,disciplinaBase!$A$3:$C$3,0))</f>
        <v>Disciplina 7</v>
      </c>
      <c r="F80">
        <v>2</v>
      </c>
    </row>
    <row r="81" spans="1:6" x14ac:dyDescent="0.25">
      <c r="A81">
        <v>77</v>
      </c>
      <c r="B81" s="21">
        <v>5</v>
      </c>
      <c r="C81" s="21" t="str">
        <f>INDEX(cursos!$A$4:$C$19,MATCH(cursoDisciplina!B81,cursos!$A$4:$A$19,0),MATCH(cursos!$B$4,cursos!$A$4:$C$4,0))</f>
        <v>curso 5</v>
      </c>
      <c r="D81" s="21">
        <v>8</v>
      </c>
      <c r="E81" s="21" t="str">
        <f>INDEX(disciplinaBase!$A$3:$C$53,MATCH(cursoDisciplina!D81,disciplinaBase!$A$3:$A$53,0),MATCH(disciplinaBase!$B$3,disciplinaBase!$A$3:$C$3,0))</f>
        <v>Disciplina 8</v>
      </c>
      <c r="F81">
        <v>2</v>
      </c>
    </row>
    <row r="82" spans="1:6" x14ac:dyDescent="0.25">
      <c r="A82">
        <v>78</v>
      </c>
      <c r="B82" s="21">
        <v>5</v>
      </c>
      <c r="C82" s="21" t="str">
        <f>INDEX(cursos!$A$4:$C$19,MATCH(cursoDisciplina!B82,cursos!$A$4:$A$19,0),MATCH(cursos!$B$4,cursos!$A$4:$C$4,0))</f>
        <v>curso 5</v>
      </c>
      <c r="D82" s="21">
        <v>9</v>
      </c>
      <c r="E82" s="21" t="str">
        <f>INDEX(disciplinaBase!$A$3:$C$53,MATCH(cursoDisciplina!D82,disciplinaBase!$A$3:$A$53,0),MATCH(disciplinaBase!$B$3,disciplinaBase!$A$3:$C$3,0))</f>
        <v>Disciplina 9</v>
      </c>
      <c r="F82">
        <v>2</v>
      </c>
    </row>
    <row r="83" spans="1:6" x14ac:dyDescent="0.25">
      <c r="A83">
        <v>79</v>
      </c>
      <c r="B83" s="21">
        <v>5</v>
      </c>
      <c r="C83" s="21" t="str">
        <f>INDEX(cursos!$A$4:$C$19,MATCH(cursoDisciplina!B83,cursos!$A$4:$A$19,0),MATCH(cursos!$B$4,cursos!$A$4:$C$4,0))</f>
        <v>curso 5</v>
      </c>
      <c r="D83" s="21">
        <v>10</v>
      </c>
      <c r="E83" s="21" t="str">
        <f>INDEX(disciplinaBase!$A$3:$C$53,MATCH(cursoDisciplina!D83,disciplinaBase!$A$3:$A$53,0),MATCH(disciplinaBase!$B$3,disciplinaBase!$A$3:$C$3,0))</f>
        <v>Disciplina 10</v>
      </c>
      <c r="F83">
        <v>2</v>
      </c>
    </row>
    <row r="84" spans="1:6" x14ac:dyDescent="0.25">
      <c r="A84">
        <v>80</v>
      </c>
      <c r="B84" s="21">
        <v>5</v>
      </c>
      <c r="C84" s="21" t="str">
        <f>INDEX(cursos!$A$4:$C$19,MATCH(cursoDisciplina!B84,cursos!$A$4:$A$19,0),MATCH(cursos!$B$4,cursos!$A$4:$C$4,0))</f>
        <v>curso 5</v>
      </c>
      <c r="D84" s="21">
        <v>11</v>
      </c>
      <c r="E84" s="21" t="str">
        <f>INDEX(disciplinaBase!$A$3:$C$53,MATCH(cursoDisciplina!D84,disciplinaBase!$A$3:$A$53,0),MATCH(disciplinaBase!$B$3,disciplinaBase!$A$3:$C$3,0))</f>
        <v>Disciplina 11</v>
      </c>
      <c r="F84">
        <v>2</v>
      </c>
    </row>
    <row r="85" spans="1:6" x14ac:dyDescent="0.25">
      <c r="A85">
        <v>81</v>
      </c>
      <c r="B85" s="21">
        <v>5</v>
      </c>
      <c r="C85" s="21" t="str">
        <f>INDEX(cursos!$A$4:$C$19,MATCH(cursoDisciplina!B85,cursos!$A$4:$A$19,0),MATCH(cursos!$B$4,cursos!$A$4:$C$4,0))</f>
        <v>curso 5</v>
      </c>
      <c r="D85" s="21">
        <v>12</v>
      </c>
      <c r="E85" s="21" t="str">
        <f>INDEX(disciplinaBase!$A$3:$C$53,MATCH(cursoDisciplina!D85,disciplinaBase!$A$3:$A$53,0),MATCH(disciplinaBase!$B$3,disciplinaBase!$A$3:$C$3,0))</f>
        <v>Disciplina 12</v>
      </c>
      <c r="F85">
        <v>2</v>
      </c>
    </row>
    <row r="86" spans="1:6" x14ac:dyDescent="0.25">
      <c r="A86">
        <v>82</v>
      </c>
      <c r="B86" s="21">
        <v>5</v>
      </c>
      <c r="C86" s="21" t="str">
        <f>INDEX(cursos!$A$4:$C$19,MATCH(cursoDisciplina!B86,cursos!$A$4:$A$19,0),MATCH(cursos!$B$4,cursos!$A$4:$C$4,0))</f>
        <v>curso 5</v>
      </c>
      <c r="D86" s="21">
        <v>13</v>
      </c>
      <c r="E86" s="21" t="str">
        <f>INDEX(disciplinaBase!$A$3:$C$53,MATCH(cursoDisciplina!D86,disciplinaBase!$A$3:$A$53,0),MATCH(disciplinaBase!$B$3,disciplinaBase!$A$3:$C$3,0))</f>
        <v>Disciplina 13</v>
      </c>
      <c r="F86">
        <v>2</v>
      </c>
    </row>
    <row r="87" spans="1:6" x14ac:dyDescent="0.25">
      <c r="A87">
        <v>83</v>
      </c>
      <c r="B87" s="21">
        <v>5</v>
      </c>
      <c r="C87" s="21" t="str">
        <f>INDEX(cursos!$A$4:$C$19,MATCH(cursoDisciplina!B87,cursos!$A$4:$A$19,0),MATCH(cursos!$B$4,cursos!$A$4:$C$4,0))</f>
        <v>curso 5</v>
      </c>
      <c r="D87" s="21">
        <v>14</v>
      </c>
      <c r="E87" s="21" t="str">
        <f>INDEX(disciplinaBase!$A$3:$C$53,MATCH(cursoDisciplina!D87,disciplinaBase!$A$3:$A$53,0),MATCH(disciplinaBase!$B$3,disciplinaBase!$A$3:$C$3,0))</f>
        <v>Disciplina 14</v>
      </c>
      <c r="F87">
        <v>2</v>
      </c>
    </row>
    <row r="88" spans="1:6" x14ac:dyDescent="0.25">
      <c r="A88">
        <v>84</v>
      </c>
      <c r="B88" s="21">
        <v>6</v>
      </c>
      <c r="C88" s="21" t="str">
        <f>INDEX(cursos!$A$4:$C$19,MATCH(cursoDisciplina!B88,cursos!$A$4:$A$19,0),MATCH(cursos!$B$4,cursos!$A$4:$C$4,0))</f>
        <v>curso 6</v>
      </c>
      <c r="D88" s="21">
        <v>1</v>
      </c>
      <c r="E88" s="21" t="str">
        <f>INDEX(disciplinaBase!$A$3:$C$53,MATCH(cursoDisciplina!D88,disciplinaBase!$A$3:$A$53,0),MATCH(disciplinaBase!$B$3,disciplinaBase!$A$3:$C$3,0))</f>
        <v>laboratóeio de engenharia de Software</v>
      </c>
      <c r="F88">
        <v>2</v>
      </c>
    </row>
    <row r="89" spans="1:6" x14ac:dyDescent="0.25">
      <c r="A89">
        <v>85</v>
      </c>
      <c r="B89" s="21">
        <v>6</v>
      </c>
      <c r="C89" s="21" t="str">
        <f>INDEX(cursos!$A$4:$C$19,MATCH(cursoDisciplina!B89,cursos!$A$4:$A$19,0),MATCH(cursos!$B$4,cursos!$A$4:$C$4,0))</f>
        <v>curso 6</v>
      </c>
      <c r="D89" s="21">
        <v>2</v>
      </c>
      <c r="E89" s="21" t="str">
        <f>INDEX(disciplinaBase!$A$3:$C$53,MATCH(cursoDisciplina!D89,disciplinaBase!$A$3:$A$53,0),MATCH(disciplinaBase!$B$3,disciplinaBase!$A$3:$C$3,0))</f>
        <v>Estrutura de Dados</v>
      </c>
      <c r="F89">
        <v>2</v>
      </c>
    </row>
    <row r="90" spans="1:6" x14ac:dyDescent="0.25">
      <c r="A90">
        <v>86</v>
      </c>
      <c r="B90" s="21">
        <v>6</v>
      </c>
      <c r="C90" s="21" t="str">
        <f>INDEX(cursos!$A$4:$C$19,MATCH(cursoDisciplina!B90,cursos!$A$4:$A$19,0),MATCH(cursos!$B$4,cursos!$A$4:$C$4,0))</f>
        <v>curso 6</v>
      </c>
      <c r="D90" s="21">
        <v>3</v>
      </c>
      <c r="E90" s="21" t="str">
        <f>INDEX(disciplinaBase!$A$3:$C$53,MATCH(cursoDisciplina!D90,disciplinaBase!$A$3:$A$53,0),MATCH(disciplinaBase!$B$3,disciplinaBase!$A$3:$C$3,0))</f>
        <v>PEM</v>
      </c>
      <c r="F90">
        <v>2</v>
      </c>
    </row>
    <row r="91" spans="1:6" x14ac:dyDescent="0.25">
      <c r="A91">
        <v>87</v>
      </c>
      <c r="B91" s="21">
        <v>6</v>
      </c>
      <c r="C91" s="21" t="str">
        <f>INDEX(cursos!$A$4:$C$19,MATCH(cursoDisciplina!B91,cursos!$A$4:$A$19,0),MATCH(cursos!$B$4,cursos!$A$4:$C$4,0))</f>
        <v>curso 6</v>
      </c>
      <c r="D91" s="21">
        <v>4</v>
      </c>
      <c r="E91" s="21" t="str">
        <f>INDEX(disciplinaBase!$A$3:$C$53,MATCH(cursoDisciplina!D91,disciplinaBase!$A$3:$A$53,0),MATCH(disciplinaBase!$B$3,disciplinaBase!$A$3:$C$3,0))</f>
        <v>Disciplina 4</v>
      </c>
      <c r="F91">
        <v>2</v>
      </c>
    </row>
    <row r="92" spans="1:6" x14ac:dyDescent="0.25">
      <c r="A92">
        <v>88</v>
      </c>
      <c r="B92" s="21">
        <v>6</v>
      </c>
      <c r="C92" s="21" t="str">
        <f>INDEX(cursos!$A$4:$C$19,MATCH(cursoDisciplina!B92,cursos!$A$4:$A$19,0),MATCH(cursos!$B$4,cursos!$A$4:$C$4,0))</f>
        <v>curso 6</v>
      </c>
      <c r="D92" s="21">
        <v>5</v>
      </c>
      <c r="E92" s="21" t="str">
        <f>INDEX(disciplinaBase!$A$3:$C$53,MATCH(cursoDisciplina!D92,disciplinaBase!$A$3:$A$53,0),MATCH(disciplinaBase!$B$3,disciplinaBase!$A$3:$C$3,0))</f>
        <v>Disciplina 5</v>
      </c>
      <c r="F92">
        <v>2</v>
      </c>
    </row>
    <row r="93" spans="1:6" x14ac:dyDescent="0.25">
      <c r="A93">
        <v>89</v>
      </c>
      <c r="B93" s="21">
        <v>6</v>
      </c>
      <c r="C93" s="21" t="str">
        <f>INDEX(cursos!$A$4:$C$19,MATCH(cursoDisciplina!B93,cursos!$A$4:$A$19,0),MATCH(cursos!$B$4,cursos!$A$4:$C$4,0))</f>
        <v>curso 6</v>
      </c>
      <c r="D93" s="21">
        <v>6</v>
      </c>
      <c r="E93" s="21" t="str">
        <f>INDEX(disciplinaBase!$A$3:$C$53,MATCH(cursoDisciplina!D93,disciplinaBase!$A$3:$A$53,0),MATCH(disciplinaBase!$B$3,disciplinaBase!$A$3:$C$3,0))</f>
        <v>Disciplina 6</v>
      </c>
      <c r="F93">
        <v>2</v>
      </c>
    </row>
    <row r="94" spans="1:6" x14ac:dyDescent="0.25">
      <c r="A94">
        <v>90</v>
      </c>
      <c r="B94" s="21">
        <v>6</v>
      </c>
      <c r="C94" s="21" t="str">
        <f>INDEX(cursos!$A$4:$C$19,MATCH(cursoDisciplina!B94,cursos!$A$4:$A$19,0),MATCH(cursos!$B$4,cursos!$A$4:$C$4,0))</f>
        <v>curso 6</v>
      </c>
      <c r="D94" s="21">
        <v>7</v>
      </c>
      <c r="E94" s="21" t="str">
        <f>INDEX(disciplinaBase!$A$3:$C$53,MATCH(cursoDisciplina!D94,disciplinaBase!$A$3:$A$53,0),MATCH(disciplinaBase!$B$3,disciplinaBase!$A$3:$C$3,0))</f>
        <v>Disciplina 7</v>
      </c>
      <c r="F94">
        <v>2</v>
      </c>
    </row>
    <row r="95" spans="1:6" x14ac:dyDescent="0.25">
      <c r="A95">
        <v>91</v>
      </c>
      <c r="B95" s="21">
        <v>6</v>
      </c>
      <c r="C95" s="21" t="str">
        <f>INDEX(cursos!$A$4:$C$19,MATCH(cursoDisciplina!B95,cursos!$A$4:$A$19,0),MATCH(cursos!$B$4,cursos!$A$4:$C$4,0))</f>
        <v>curso 6</v>
      </c>
      <c r="D95" s="21">
        <v>8</v>
      </c>
      <c r="E95" s="21" t="str">
        <f>INDEX(disciplinaBase!$A$3:$C$53,MATCH(cursoDisciplina!D95,disciplinaBase!$A$3:$A$53,0),MATCH(disciplinaBase!$B$3,disciplinaBase!$A$3:$C$3,0))</f>
        <v>Disciplina 8</v>
      </c>
      <c r="F95">
        <v>2</v>
      </c>
    </row>
    <row r="96" spans="1:6" x14ac:dyDescent="0.25">
      <c r="A96">
        <v>92</v>
      </c>
      <c r="B96" s="21">
        <v>6</v>
      </c>
      <c r="C96" s="21" t="str">
        <f>INDEX(cursos!$A$4:$C$19,MATCH(cursoDisciplina!B96,cursos!$A$4:$A$19,0),MATCH(cursos!$B$4,cursos!$A$4:$C$4,0))</f>
        <v>curso 6</v>
      </c>
      <c r="D96" s="21">
        <v>9</v>
      </c>
      <c r="E96" s="21" t="str">
        <f>INDEX(disciplinaBase!$A$3:$C$53,MATCH(cursoDisciplina!D96,disciplinaBase!$A$3:$A$53,0),MATCH(disciplinaBase!$B$3,disciplinaBase!$A$3:$C$3,0))</f>
        <v>Disciplina 9</v>
      </c>
      <c r="F96">
        <v>2</v>
      </c>
    </row>
    <row r="97" spans="1:6" x14ac:dyDescent="0.25">
      <c r="A97">
        <v>93</v>
      </c>
      <c r="B97" s="21">
        <v>6</v>
      </c>
      <c r="C97" s="21" t="str">
        <f>INDEX(cursos!$A$4:$C$19,MATCH(cursoDisciplina!B97,cursos!$A$4:$A$19,0),MATCH(cursos!$B$4,cursos!$A$4:$C$4,0))</f>
        <v>curso 6</v>
      </c>
      <c r="D97" s="21">
        <v>10</v>
      </c>
      <c r="E97" s="21" t="str">
        <f>INDEX(disciplinaBase!$A$3:$C$53,MATCH(cursoDisciplina!D97,disciplinaBase!$A$3:$A$53,0),MATCH(disciplinaBase!$B$3,disciplinaBase!$A$3:$C$3,0))</f>
        <v>Disciplina 10</v>
      </c>
      <c r="F97">
        <v>2</v>
      </c>
    </row>
    <row r="98" spans="1:6" x14ac:dyDescent="0.25">
      <c r="A98">
        <v>94</v>
      </c>
      <c r="B98" s="21">
        <v>6</v>
      </c>
      <c r="C98" s="21" t="str">
        <f>INDEX(cursos!$A$4:$C$19,MATCH(cursoDisciplina!B98,cursos!$A$4:$A$19,0),MATCH(cursos!$B$4,cursos!$A$4:$C$4,0))</f>
        <v>curso 6</v>
      </c>
      <c r="D98" s="21">
        <v>11</v>
      </c>
      <c r="E98" s="21" t="str">
        <f>INDEX(disciplinaBase!$A$3:$C$53,MATCH(cursoDisciplina!D98,disciplinaBase!$A$3:$A$53,0),MATCH(disciplinaBase!$B$3,disciplinaBase!$A$3:$C$3,0))</f>
        <v>Disciplina 11</v>
      </c>
      <c r="F98">
        <v>2</v>
      </c>
    </row>
    <row r="99" spans="1:6" x14ac:dyDescent="0.25">
      <c r="A99">
        <v>95</v>
      </c>
      <c r="B99" s="21">
        <v>6</v>
      </c>
      <c r="C99" s="21" t="str">
        <f>INDEX(cursos!$A$4:$C$19,MATCH(cursoDisciplina!B99,cursos!$A$4:$A$19,0),MATCH(cursos!$B$4,cursos!$A$4:$C$4,0))</f>
        <v>curso 6</v>
      </c>
      <c r="D99" s="21">
        <v>12</v>
      </c>
      <c r="E99" s="21" t="str">
        <f>INDEX(disciplinaBase!$A$3:$C$53,MATCH(cursoDisciplina!D99,disciplinaBase!$A$3:$A$53,0),MATCH(disciplinaBase!$B$3,disciplinaBase!$A$3:$C$3,0))</f>
        <v>Disciplina 12</v>
      </c>
      <c r="F99">
        <v>2</v>
      </c>
    </row>
    <row r="100" spans="1:6" x14ac:dyDescent="0.25">
      <c r="A100">
        <v>96</v>
      </c>
      <c r="B100" s="21">
        <v>6</v>
      </c>
      <c r="C100" s="21" t="str">
        <f>INDEX(cursos!$A$4:$C$19,MATCH(cursoDisciplina!B100,cursos!$A$4:$A$19,0),MATCH(cursos!$B$4,cursos!$A$4:$C$4,0))</f>
        <v>curso 6</v>
      </c>
      <c r="D100" s="21">
        <v>13</v>
      </c>
      <c r="E100" s="21" t="str">
        <f>INDEX(disciplinaBase!$A$3:$C$53,MATCH(cursoDisciplina!D100,disciplinaBase!$A$3:$A$53,0),MATCH(disciplinaBase!$B$3,disciplinaBase!$A$3:$C$3,0))</f>
        <v>Disciplina 13</v>
      </c>
      <c r="F100">
        <v>2</v>
      </c>
    </row>
    <row r="101" spans="1:6" x14ac:dyDescent="0.25">
      <c r="A101">
        <v>97</v>
      </c>
      <c r="B101" s="21">
        <v>6</v>
      </c>
      <c r="C101" s="21" t="str">
        <f>INDEX(cursos!$A$4:$C$19,MATCH(cursoDisciplina!B101,cursos!$A$4:$A$19,0),MATCH(cursos!$B$4,cursos!$A$4:$C$4,0))</f>
        <v>curso 6</v>
      </c>
      <c r="D101" s="21">
        <v>14</v>
      </c>
      <c r="E101" s="21" t="str">
        <f>INDEX(disciplinaBase!$A$3:$C$53,MATCH(cursoDisciplina!D101,disciplinaBase!$A$3:$A$53,0),MATCH(disciplinaBase!$B$3,disciplinaBase!$A$3:$C$3,0))</f>
        <v>Disciplina 14</v>
      </c>
      <c r="F101">
        <v>2</v>
      </c>
    </row>
    <row r="102" spans="1:6" x14ac:dyDescent="0.25">
      <c r="A102">
        <v>98</v>
      </c>
      <c r="B102" s="21">
        <v>6</v>
      </c>
      <c r="C102" s="21" t="str">
        <f>INDEX(cursos!$A$4:$C$19,MATCH(cursoDisciplina!B102,cursos!$A$4:$A$19,0),MATCH(cursos!$B$4,cursos!$A$4:$C$4,0))</f>
        <v>curso 6</v>
      </c>
      <c r="D102" s="21">
        <v>15</v>
      </c>
      <c r="E102" s="21" t="str">
        <f>INDEX(disciplinaBase!$A$3:$C$53,MATCH(cursoDisciplina!D102,disciplinaBase!$A$3:$A$53,0),MATCH(disciplinaBase!$B$3,disciplinaBase!$A$3:$C$3,0))</f>
        <v>Disciplina 15</v>
      </c>
      <c r="F102">
        <v>2</v>
      </c>
    </row>
    <row r="103" spans="1:6" x14ac:dyDescent="0.25">
      <c r="A103">
        <v>99</v>
      </c>
      <c r="B103" s="21">
        <v>6</v>
      </c>
      <c r="C103" s="21" t="str">
        <f>INDEX(cursos!$A$4:$C$19,MATCH(cursoDisciplina!B103,cursos!$A$4:$A$19,0),MATCH(cursos!$B$4,cursos!$A$4:$C$4,0))</f>
        <v>curso 6</v>
      </c>
      <c r="D103" s="21">
        <v>16</v>
      </c>
      <c r="E103" s="21" t="str">
        <f>INDEX(disciplinaBase!$A$3:$C$53,MATCH(cursoDisciplina!D103,disciplinaBase!$A$3:$A$53,0),MATCH(disciplinaBase!$B$3,disciplinaBase!$A$3:$C$3,0))</f>
        <v>Disciplina 16</v>
      </c>
      <c r="F103">
        <v>2</v>
      </c>
    </row>
    <row r="104" spans="1:6" x14ac:dyDescent="0.25">
      <c r="A104">
        <v>100</v>
      </c>
      <c r="B104" s="21">
        <v>6</v>
      </c>
      <c r="C104" s="21" t="str">
        <f>INDEX(cursos!$A$4:$C$19,MATCH(cursoDisciplina!B104,cursos!$A$4:$A$19,0),MATCH(cursos!$B$4,cursos!$A$4:$C$4,0))</f>
        <v>curso 6</v>
      </c>
      <c r="D104" s="21">
        <v>17</v>
      </c>
      <c r="E104" s="21" t="str">
        <f>INDEX(disciplinaBase!$A$3:$C$53,MATCH(cursoDisciplina!D104,disciplinaBase!$A$3:$A$53,0),MATCH(disciplinaBase!$B$3,disciplinaBase!$A$3:$C$3,0))</f>
        <v>Disciplina 17</v>
      </c>
      <c r="F104">
        <v>2</v>
      </c>
    </row>
    <row r="105" spans="1:6" x14ac:dyDescent="0.25">
      <c r="A105">
        <v>101</v>
      </c>
      <c r="B105" s="21">
        <v>6</v>
      </c>
      <c r="C105" s="21" t="str">
        <f>INDEX(cursos!$A$4:$C$19,MATCH(cursoDisciplina!B105,cursos!$A$4:$A$19,0),MATCH(cursos!$B$4,cursos!$A$4:$C$4,0))</f>
        <v>curso 6</v>
      </c>
      <c r="D105" s="21">
        <v>18</v>
      </c>
      <c r="E105" s="21" t="str">
        <f>INDEX(disciplinaBase!$A$3:$C$53,MATCH(cursoDisciplina!D105,disciplinaBase!$A$3:$A$53,0),MATCH(disciplinaBase!$B$3,disciplinaBase!$A$3:$C$3,0))</f>
        <v>Disciplina 18</v>
      </c>
      <c r="F105">
        <v>2</v>
      </c>
    </row>
    <row r="106" spans="1:6" x14ac:dyDescent="0.25">
      <c r="A106">
        <v>102</v>
      </c>
      <c r="B106" s="21">
        <v>6</v>
      </c>
      <c r="C106" s="21" t="str">
        <f>INDEX(cursos!$A$4:$C$19,MATCH(cursoDisciplina!B106,cursos!$A$4:$A$19,0),MATCH(cursos!$B$4,cursos!$A$4:$C$4,0))</f>
        <v>curso 6</v>
      </c>
      <c r="D106" s="21">
        <v>19</v>
      </c>
      <c r="E106" s="21" t="str">
        <f>INDEX(disciplinaBase!$A$3:$C$53,MATCH(cursoDisciplina!D106,disciplinaBase!$A$3:$A$53,0),MATCH(disciplinaBase!$B$3,disciplinaBase!$A$3:$C$3,0))</f>
        <v>Disciplina 19</v>
      </c>
      <c r="F106">
        <v>2</v>
      </c>
    </row>
    <row r="107" spans="1:6" x14ac:dyDescent="0.25">
      <c r="A107">
        <v>103</v>
      </c>
      <c r="B107" s="21">
        <v>6</v>
      </c>
      <c r="C107" s="21" t="str">
        <f>INDEX(cursos!$A$4:$C$19,MATCH(cursoDisciplina!B107,cursos!$A$4:$A$19,0),MATCH(cursos!$B$4,cursos!$A$4:$C$4,0))</f>
        <v>curso 6</v>
      </c>
      <c r="D107" s="21">
        <v>20</v>
      </c>
      <c r="E107" s="21" t="str">
        <f>INDEX(disciplinaBase!$A$3:$C$53,MATCH(cursoDisciplina!D107,disciplinaBase!$A$3:$A$53,0),MATCH(disciplinaBase!$B$3,disciplinaBase!$A$3:$C$3,0))</f>
        <v>Disciplina 20</v>
      </c>
      <c r="F107">
        <v>2</v>
      </c>
    </row>
    <row r="108" spans="1:6" x14ac:dyDescent="0.25">
      <c r="A108">
        <v>104</v>
      </c>
      <c r="B108" s="21">
        <v>6</v>
      </c>
      <c r="C108" s="21" t="str">
        <f>INDEX(cursos!$A$4:$C$19,MATCH(cursoDisciplina!B108,cursos!$A$4:$A$19,0),MATCH(cursos!$B$4,cursos!$A$4:$C$4,0))</f>
        <v>curso 6</v>
      </c>
      <c r="D108" s="21">
        <v>21</v>
      </c>
      <c r="E108" s="21" t="str">
        <f>INDEX(disciplinaBase!$A$3:$C$53,MATCH(cursoDisciplina!D108,disciplinaBase!$A$3:$A$53,0),MATCH(disciplinaBase!$B$3,disciplinaBase!$A$3:$C$3,0))</f>
        <v>Disciplina 21</v>
      </c>
      <c r="F108">
        <v>2</v>
      </c>
    </row>
    <row r="109" spans="1:6" x14ac:dyDescent="0.25">
      <c r="A109">
        <v>105</v>
      </c>
      <c r="B109" s="21">
        <v>6</v>
      </c>
      <c r="C109" s="21" t="str">
        <f>INDEX(cursos!$A$4:$C$19,MATCH(cursoDisciplina!B109,cursos!$A$4:$A$19,0),MATCH(cursos!$B$4,cursos!$A$4:$C$4,0))</f>
        <v>curso 6</v>
      </c>
      <c r="D109" s="21">
        <v>22</v>
      </c>
      <c r="E109" s="21" t="str">
        <f>INDEX(disciplinaBase!$A$3:$C$53,MATCH(cursoDisciplina!D109,disciplinaBase!$A$3:$A$53,0),MATCH(disciplinaBase!$B$3,disciplinaBase!$A$3:$C$3,0))</f>
        <v>Disciplina 22</v>
      </c>
      <c r="F109">
        <v>2</v>
      </c>
    </row>
    <row r="110" spans="1:6" x14ac:dyDescent="0.25">
      <c r="A110">
        <v>106</v>
      </c>
      <c r="B110" s="21">
        <v>6</v>
      </c>
      <c r="C110" s="21" t="str">
        <f>INDEX(cursos!$A$4:$C$19,MATCH(cursoDisciplina!B110,cursos!$A$4:$A$19,0),MATCH(cursos!$B$4,cursos!$A$4:$C$4,0))</f>
        <v>curso 6</v>
      </c>
      <c r="D110" s="21">
        <v>23</v>
      </c>
      <c r="E110" s="21" t="str">
        <f>INDEX(disciplinaBase!$A$3:$C$53,MATCH(cursoDisciplina!D110,disciplinaBase!$A$3:$A$53,0),MATCH(disciplinaBase!$B$3,disciplinaBase!$A$3:$C$3,0))</f>
        <v>Disciplina 23</v>
      </c>
      <c r="F110">
        <v>2</v>
      </c>
    </row>
    <row r="111" spans="1:6" x14ac:dyDescent="0.25">
      <c r="A111">
        <v>107</v>
      </c>
      <c r="B111" s="21">
        <v>6</v>
      </c>
      <c r="C111" s="21" t="str">
        <f>INDEX(cursos!$A$4:$C$19,MATCH(cursoDisciplina!B111,cursos!$A$4:$A$19,0),MATCH(cursos!$B$4,cursos!$A$4:$C$4,0))</f>
        <v>curso 6</v>
      </c>
      <c r="D111" s="21">
        <v>24</v>
      </c>
      <c r="E111" s="21" t="str">
        <f>INDEX(disciplinaBase!$A$3:$C$53,MATCH(cursoDisciplina!D111,disciplinaBase!$A$3:$A$53,0),MATCH(disciplinaBase!$B$3,disciplinaBase!$A$3:$C$3,0))</f>
        <v>Disciplina 24</v>
      </c>
      <c r="F111">
        <v>2</v>
      </c>
    </row>
    <row r="112" spans="1:6" x14ac:dyDescent="0.25">
      <c r="A112">
        <v>108</v>
      </c>
      <c r="B112" s="21">
        <v>6</v>
      </c>
      <c r="C112" s="21" t="str">
        <f>INDEX(cursos!$A$4:$C$19,MATCH(cursoDisciplina!B112,cursos!$A$4:$A$19,0),MATCH(cursos!$B$4,cursos!$A$4:$C$4,0))</f>
        <v>curso 6</v>
      </c>
      <c r="D112" s="21">
        <v>25</v>
      </c>
      <c r="E112" s="21" t="str">
        <f>INDEX(disciplinaBase!$A$3:$C$53,MATCH(cursoDisciplina!D112,disciplinaBase!$A$3:$A$53,0),MATCH(disciplinaBase!$B$3,disciplinaBase!$A$3:$C$3,0))</f>
        <v>Disciplina 25</v>
      </c>
      <c r="F112">
        <v>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E303F-D34C-4855-94E5-7A785E4FEFC0}">
  <dimension ref="A3:C53"/>
  <sheetViews>
    <sheetView workbookViewId="0">
      <selection activeCell="B7" sqref="B7"/>
    </sheetView>
  </sheetViews>
  <sheetFormatPr defaultRowHeight="15" x14ac:dyDescent="0.25"/>
  <cols>
    <col min="2" max="2" width="36.42578125" bestFit="1" customWidth="1"/>
  </cols>
  <sheetData>
    <row r="3" spans="1:3" x14ac:dyDescent="0.25">
      <c r="A3" s="21" t="s">
        <v>92</v>
      </c>
      <c r="B3" s="21" t="s">
        <v>93</v>
      </c>
      <c r="C3" s="21" t="s">
        <v>94</v>
      </c>
    </row>
    <row r="4" spans="1:3" x14ac:dyDescent="0.25">
      <c r="A4" s="22">
        <v>1</v>
      </c>
      <c r="B4" s="21" t="s">
        <v>157</v>
      </c>
      <c r="C4" s="21">
        <v>40</v>
      </c>
    </row>
    <row r="5" spans="1:3" x14ac:dyDescent="0.25">
      <c r="A5" s="22">
        <v>2</v>
      </c>
      <c r="B5" s="21" t="s">
        <v>158</v>
      </c>
      <c r="C5" s="21">
        <v>40</v>
      </c>
    </row>
    <row r="6" spans="1:3" x14ac:dyDescent="0.25">
      <c r="A6" s="22">
        <v>3</v>
      </c>
      <c r="B6" s="21" t="s">
        <v>159</v>
      </c>
      <c r="C6" s="21">
        <v>40</v>
      </c>
    </row>
    <row r="7" spans="1:3" x14ac:dyDescent="0.25">
      <c r="A7" s="22">
        <v>4</v>
      </c>
      <c r="B7" s="21" t="s">
        <v>95</v>
      </c>
      <c r="C7" s="21">
        <v>40</v>
      </c>
    </row>
    <row r="8" spans="1:3" x14ac:dyDescent="0.25">
      <c r="A8" s="22">
        <v>5</v>
      </c>
      <c r="B8" s="21" t="s">
        <v>96</v>
      </c>
      <c r="C8" s="21">
        <v>40</v>
      </c>
    </row>
    <row r="9" spans="1:3" x14ac:dyDescent="0.25">
      <c r="A9" s="22">
        <v>6</v>
      </c>
      <c r="B9" s="21" t="s">
        <v>97</v>
      </c>
      <c r="C9" s="21">
        <v>40</v>
      </c>
    </row>
    <row r="10" spans="1:3" x14ac:dyDescent="0.25">
      <c r="A10" s="22">
        <v>7</v>
      </c>
      <c r="B10" s="21" t="s">
        <v>98</v>
      </c>
      <c r="C10" s="21">
        <v>40</v>
      </c>
    </row>
    <row r="11" spans="1:3" x14ac:dyDescent="0.25">
      <c r="A11" s="22">
        <v>8</v>
      </c>
      <c r="B11" s="21" t="s">
        <v>99</v>
      </c>
      <c r="C11" s="21">
        <v>40</v>
      </c>
    </row>
    <row r="12" spans="1:3" x14ac:dyDescent="0.25">
      <c r="A12" s="22">
        <v>9</v>
      </c>
      <c r="B12" s="21" t="s">
        <v>100</v>
      </c>
      <c r="C12" s="21">
        <v>40</v>
      </c>
    </row>
    <row r="13" spans="1:3" x14ac:dyDescent="0.25">
      <c r="A13" s="22">
        <v>10</v>
      </c>
      <c r="B13" s="21" t="s">
        <v>101</v>
      </c>
      <c r="C13" s="21">
        <v>40</v>
      </c>
    </row>
    <row r="14" spans="1:3" x14ac:dyDescent="0.25">
      <c r="A14" s="22">
        <v>11</v>
      </c>
      <c r="B14" s="21" t="s">
        <v>102</v>
      </c>
      <c r="C14" s="21">
        <v>40</v>
      </c>
    </row>
    <row r="15" spans="1:3" x14ac:dyDescent="0.25">
      <c r="A15" s="22">
        <v>12</v>
      </c>
      <c r="B15" s="21" t="s">
        <v>103</v>
      </c>
      <c r="C15" s="21">
        <v>40</v>
      </c>
    </row>
    <row r="16" spans="1:3" x14ac:dyDescent="0.25">
      <c r="A16" s="22">
        <v>13</v>
      </c>
      <c r="B16" s="21" t="s">
        <v>104</v>
      </c>
      <c r="C16" s="21">
        <v>40</v>
      </c>
    </row>
    <row r="17" spans="1:3" x14ac:dyDescent="0.25">
      <c r="A17" s="22">
        <v>14</v>
      </c>
      <c r="B17" s="21" t="s">
        <v>105</v>
      </c>
      <c r="C17" s="21">
        <v>40</v>
      </c>
    </row>
    <row r="18" spans="1:3" x14ac:dyDescent="0.25">
      <c r="A18" s="22">
        <v>15</v>
      </c>
      <c r="B18" s="21" t="s">
        <v>106</v>
      </c>
      <c r="C18" s="21">
        <v>40</v>
      </c>
    </row>
    <row r="19" spans="1:3" x14ac:dyDescent="0.25">
      <c r="A19" s="22">
        <v>16</v>
      </c>
      <c r="B19" s="21" t="s">
        <v>107</v>
      </c>
      <c r="C19" s="21">
        <v>40</v>
      </c>
    </row>
    <row r="20" spans="1:3" x14ac:dyDescent="0.25">
      <c r="A20" s="22">
        <v>17</v>
      </c>
      <c r="B20" s="21" t="s">
        <v>108</v>
      </c>
      <c r="C20" s="21">
        <v>40</v>
      </c>
    </row>
    <row r="21" spans="1:3" x14ac:dyDescent="0.25">
      <c r="A21" s="22">
        <v>18</v>
      </c>
      <c r="B21" s="21" t="s">
        <v>109</v>
      </c>
      <c r="C21" s="21">
        <v>40</v>
      </c>
    </row>
    <row r="22" spans="1:3" x14ac:dyDescent="0.25">
      <c r="A22" s="22">
        <v>19</v>
      </c>
      <c r="B22" s="21" t="s">
        <v>110</v>
      </c>
      <c r="C22" s="21">
        <v>40</v>
      </c>
    </row>
    <row r="23" spans="1:3" x14ac:dyDescent="0.25">
      <c r="A23" s="22">
        <v>20</v>
      </c>
      <c r="B23" s="21" t="s">
        <v>111</v>
      </c>
      <c r="C23" s="21">
        <v>40</v>
      </c>
    </row>
    <row r="24" spans="1:3" x14ac:dyDescent="0.25">
      <c r="A24" s="22">
        <v>21</v>
      </c>
      <c r="B24" s="21" t="s">
        <v>112</v>
      </c>
      <c r="C24" s="21">
        <v>40</v>
      </c>
    </row>
    <row r="25" spans="1:3" x14ac:dyDescent="0.25">
      <c r="A25" s="22">
        <v>22</v>
      </c>
      <c r="B25" s="21" t="s">
        <v>113</v>
      </c>
      <c r="C25" s="21">
        <v>40</v>
      </c>
    </row>
    <row r="26" spans="1:3" x14ac:dyDescent="0.25">
      <c r="A26" s="22">
        <v>23</v>
      </c>
      <c r="B26" s="21" t="s">
        <v>114</v>
      </c>
      <c r="C26" s="21">
        <v>40</v>
      </c>
    </row>
    <row r="27" spans="1:3" x14ac:dyDescent="0.25">
      <c r="A27" s="22">
        <v>24</v>
      </c>
      <c r="B27" s="21" t="s">
        <v>115</v>
      </c>
      <c r="C27" s="21">
        <v>40</v>
      </c>
    </row>
    <row r="28" spans="1:3" x14ac:dyDescent="0.25">
      <c r="A28" s="22">
        <v>25</v>
      </c>
      <c r="B28" s="21" t="s">
        <v>116</v>
      </c>
      <c r="C28" s="21">
        <v>40</v>
      </c>
    </row>
    <row r="29" spans="1:3" x14ac:dyDescent="0.25">
      <c r="A29" s="22">
        <v>26</v>
      </c>
      <c r="B29" s="21" t="s">
        <v>117</v>
      </c>
      <c r="C29" s="21">
        <v>40</v>
      </c>
    </row>
    <row r="30" spans="1:3" x14ac:dyDescent="0.25">
      <c r="A30" s="22">
        <v>27</v>
      </c>
      <c r="B30" s="21" t="s">
        <v>118</v>
      </c>
      <c r="C30" s="21">
        <v>40</v>
      </c>
    </row>
    <row r="31" spans="1:3" x14ac:dyDescent="0.25">
      <c r="A31" s="22">
        <v>28</v>
      </c>
      <c r="B31" s="21" t="s">
        <v>119</v>
      </c>
      <c r="C31" s="21">
        <v>40</v>
      </c>
    </row>
    <row r="32" spans="1:3" x14ac:dyDescent="0.25">
      <c r="A32" s="22">
        <v>29</v>
      </c>
      <c r="B32" s="21" t="s">
        <v>120</v>
      </c>
      <c r="C32" s="21">
        <v>40</v>
      </c>
    </row>
    <row r="33" spans="1:3" x14ac:dyDescent="0.25">
      <c r="A33" s="22">
        <v>30</v>
      </c>
      <c r="B33" s="21" t="s">
        <v>121</v>
      </c>
      <c r="C33" s="21">
        <v>40</v>
      </c>
    </row>
    <row r="34" spans="1:3" x14ac:dyDescent="0.25">
      <c r="A34" s="22">
        <v>31</v>
      </c>
      <c r="B34" s="21" t="s">
        <v>122</v>
      </c>
      <c r="C34" s="21">
        <v>40</v>
      </c>
    </row>
    <row r="35" spans="1:3" x14ac:dyDescent="0.25">
      <c r="A35" s="22">
        <v>32</v>
      </c>
      <c r="B35" s="21" t="s">
        <v>123</v>
      </c>
      <c r="C35" s="21">
        <v>40</v>
      </c>
    </row>
    <row r="36" spans="1:3" x14ac:dyDescent="0.25">
      <c r="A36" s="22">
        <v>33</v>
      </c>
      <c r="B36" s="21" t="s">
        <v>124</v>
      </c>
      <c r="C36" s="21">
        <v>40</v>
      </c>
    </row>
    <row r="37" spans="1:3" x14ac:dyDescent="0.25">
      <c r="A37" s="22">
        <v>34</v>
      </c>
      <c r="B37" s="21" t="s">
        <v>125</v>
      </c>
      <c r="C37" s="21">
        <v>40</v>
      </c>
    </row>
    <row r="38" spans="1:3" x14ac:dyDescent="0.25">
      <c r="A38" s="22">
        <v>35</v>
      </c>
      <c r="B38" s="21" t="s">
        <v>126</v>
      </c>
      <c r="C38" s="21">
        <v>40</v>
      </c>
    </row>
    <row r="39" spans="1:3" x14ac:dyDescent="0.25">
      <c r="A39" s="22">
        <v>36</v>
      </c>
      <c r="B39" s="21" t="s">
        <v>127</v>
      </c>
      <c r="C39" s="21">
        <v>40</v>
      </c>
    </row>
    <row r="40" spans="1:3" x14ac:dyDescent="0.25">
      <c r="A40" s="22">
        <v>37</v>
      </c>
      <c r="B40" s="21" t="s">
        <v>128</v>
      </c>
      <c r="C40" s="21">
        <v>40</v>
      </c>
    </row>
    <row r="41" spans="1:3" x14ac:dyDescent="0.25">
      <c r="A41" s="22">
        <v>38</v>
      </c>
      <c r="B41" s="21" t="s">
        <v>129</v>
      </c>
      <c r="C41" s="21">
        <v>40</v>
      </c>
    </row>
    <row r="42" spans="1:3" x14ac:dyDescent="0.25">
      <c r="A42" s="22">
        <v>39</v>
      </c>
      <c r="B42" s="21" t="s">
        <v>130</v>
      </c>
      <c r="C42" s="21">
        <v>40</v>
      </c>
    </row>
    <row r="43" spans="1:3" x14ac:dyDescent="0.25">
      <c r="A43" s="22">
        <v>40</v>
      </c>
      <c r="B43" s="21" t="s">
        <v>131</v>
      </c>
      <c r="C43" s="21">
        <v>40</v>
      </c>
    </row>
    <row r="44" spans="1:3" x14ac:dyDescent="0.25">
      <c r="A44" s="22">
        <v>41</v>
      </c>
      <c r="B44" s="21" t="s">
        <v>132</v>
      </c>
      <c r="C44" s="21">
        <v>40</v>
      </c>
    </row>
    <row r="45" spans="1:3" x14ac:dyDescent="0.25">
      <c r="A45" s="22">
        <v>42</v>
      </c>
      <c r="B45" s="21" t="s">
        <v>133</v>
      </c>
      <c r="C45" s="21">
        <v>40</v>
      </c>
    </row>
    <row r="46" spans="1:3" x14ac:dyDescent="0.25">
      <c r="A46" s="22">
        <v>43</v>
      </c>
      <c r="B46" s="21" t="s">
        <v>134</v>
      </c>
      <c r="C46" s="21">
        <v>40</v>
      </c>
    </row>
    <row r="47" spans="1:3" x14ac:dyDescent="0.25">
      <c r="A47" s="22">
        <v>44</v>
      </c>
      <c r="B47" s="21" t="s">
        <v>135</v>
      </c>
      <c r="C47" s="21">
        <v>40</v>
      </c>
    </row>
    <row r="48" spans="1:3" x14ac:dyDescent="0.25">
      <c r="A48" s="22">
        <v>45</v>
      </c>
      <c r="B48" s="21" t="s">
        <v>136</v>
      </c>
      <c r="C48" s="21">
        <v>40</v>
      </c>
    </row>
    <row r="49" spans="1:3" x14ac:dyDescent="0.25">
      <c r="A49" s="22">
        <v>46</v>
      </c>
      <c r="B49" s="21" t="s">
        <v>137</v>
      </c>
      <c r="C49" s="21">
        <v>40</v>
      </c>
    </row>
    <row r="50" spans="1:3" x14ac:dyDescent="0.25">
      <c r="A50" s="22">
        <v>47</v>
      </c>
      <c r="B50" s="21" t="s">
        <v>138</v>
      </c>
      <c r="C50" s="21">
        <v>40</v>
      </c>
    </row>
    <row r="51" spans="1:3" x14ac:dyDescent="0.25">
      <c r="A51" s="22">
        <v>48</v>
      </c>
      <c r="B51" s="21" t="s">
        <v>139</v>
      </c>
      <c r="C51" s="21">
        <v>40</v>
      </c>
    </row>
    <row r="52" spans="1:3" x14ac:dyDescent="0.25">
      <c r="A52" s="22">
        <v>49</v>
      </c>
      <c r="B52" s="21" t="s">
        <v>140</v>
      </c>
      <c r="C52" s="21">
        <v>40</v>
      </c>
    </row>
    <row r="53" spans="1:3" x14ac:dyDescent="0.25">
      <c r="A53" s="22">
        <v>50</v>
      </c>
      <c r="B53" s="21" t="s">
        <v>141</v>
      </c>
      <c r="C53" s="21">
        <v>40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F5526-F147-481E-B20B-6D3FB0261E5B}">
  <dimension ref="A3:L400"/>
  <sheetViews>
    <sheetView workbookViewId="0">
      <selection activeCell="E23" sqref="E23"/>
    </sheetView>
  </sheetViews>
  <sheetFormatPr defaultRowHeight="15" x14ac:dyDescent="0.25"/>
  <cols>
    <col min="1" max="1" width="17.42578125" bestFit="1" customWidth="1"/>
    <col min="2" max="2" width="16.28515625" style="25" bestFit="1" customWidth="1"/>
    <col min="3" max="5" width="16.28515625" customWidth="1"/>
    <col min="6" max="6" width="8" bestFit="1" customWidth="1"/>
    <col min="7" max="12" width="6" bestFit="1" customWidth="1"/>
  </cols>
  <sheetData>
    <row r="3" spans="1:12" x14ac:dyDescent="0.25">
      <c r="A3" t="s">
        <v>163</v>
      </c>
      <c r="B3" s="25" t="s">
        <v>147</v>
      </c>
      <c r="C3" t="s">
        <v>166</v>
      </c>
      <c r="D3" t="s">
        <v>155</v>
      </c>
      <c r="E3" t="s">
        <v>156</v>
      </c>
      <c r="F3" t="s">
        <v>148</v>
      </c>
      <c r="G3" t="s">
        <v>149</v>
      </c>
      <c r="H3" t="s">
        <v>150</v>
      </c>
      <c r="I3" t="s">
        <v>151</v>
      </c>
      <c r="J3" t="s">
        <v>152</v>
      </c>
      <c r="K3" t="s">
        <v>153</v>
      </c>
      <c r="L3" t="s">
        <v>154</v>
      </c>
    </row>
    <row r="4" spans="1:12" x14ac:dyDescent="0.25">
      <c r="A4" s="25">
        <v>1</v>
      </c>
      <c r="B4" s="25">
        <v>0</v>
      </c>
      <c r="C4" s="25" t="e">
        <f>INDEX(cursoDisciplina!$A$4:$F$112,MATCH(disciplinaGrade!B4,cursoDisciplina!$A$4:$A$112,0),MATCH(cursoDisciplina!$C$4,cursoDisciplina!$A$4:$F$4,0))</f>
        <v>#N/A</v>
      </c>
      <c r="D4" t="e">
        <f>INDEX(cursoDisciplina!$A$4:$F$112,MATCH(disciplinaGrade!B4,cursoDisciplina!$A$4:$A$112,0),MATCH(cursoDisciplina!$E$4,cursoDisciplina!$A$4:$F$4,0))</f>
        <v>#N/A</v>
      </c>
      <c r="E4" t="s">
        <v>12</v>
      </c>
      <c r="F4" t="s">
        <v>14</v>
      </c>
      <c r="G4" s="25"/>
      <c r="H4" s="25"/>
      <c r="I4" s="25" t="s">
        <v>43</v>
      </c>
      <c r="J4" s="25" t="s">
        <v>43</v>
      </c>
      <c r="K4" s="25" t="s">
        <v>43</v>
      </c>
      <c r="L4" s="25" t="s">
        <v>43</v>
      </c>
    </row>
    <row r="5" spans="1:12" x14ac:dyDescent="0.25">
      <c r="A5" s="25">
        <v>2</v>
      </c>
      <c r="B5" s="25">
        <v>0</v>
      </c>
      <c r="C5" s="25" t="e">
        <f>INDEX(cursoDisciplina!$A$4:$F$112,MATCH(disciplinaGrade!B5,cursoDisciplina!$A$4:$A$112,0),MATCH(cursoDisciplina!$C$4,cursoDisciplina!$A$4:$F$4,0))</f>
        <v>#N/A</v>
      </c>
      <c r="D5" t="e">
        <f>INDEX(cursoDisciplina!$A$4:$F$112,MATCH(disciplinaGrade!B5,cursoDisciplina!$A$4:$A$112,0),MATCH(cursoDisciplina!$E$4,cursoDisciplina!$A$4:$F$4,0))</f>
        <v>#N/A</v>
      </c>
      <c r="E5" t="s">
        <v>12</v>
      </c>
      <c r="F5" t="s">
        <v>15</v>
      </c>
      <c r="G5" s="25" t="s">
        <v>43</v>
      </c>
      <c r="H5" s="25" t="s">
        <v>43</v>
      </c>
      <c r="I5" s="25" t="s">
        <v>43</v>
      </c>
      <c r="J5" s="25" t="s">
        <v>43</v>
      </c>
      <c r="K5" s="25"/>
      <c r="L5" s="25"/>
    </row>
    <row r="6" spans="1:12" x14ac:dyDescent="0.25">
      <c r="A6" s="25">
        <v>3</v>
      </c>
      <c r="B6" s="25">
        <v>0</v>
      </c>
      <c r="C6" s="25" t="e">
        <f>INDEX(cursoDisciplina!$A$4:$F$112,MATCH(disciplinaGrade!B6,cursoDisciplina!$A$4:$A$112,0),MATCH(cursoDisciplina!$C$4,cursoDisciplina!$A$4:$F$4,0))</f>
        <v>#N/A</v>
      </c>
      <c r="D6" t="e">
        <f>INDEX(cursoDisciplina!$A$4:$F$112,MATCH(disciplinaGrade!B6,cursoDisciplina!$A$4:$A$112,0),MATCH(cursoDisciplina!$E$4,cursoDisciplina!$A$4:$F$4,0))</f>
        <v>#N/A</v>
      </c>
      <c r="E6" t="s">
        <v>13</v>
      </c>
      <c r="F6" t="s">
        <v>14</v>
      </c>
      <c r="G6" s="25"/>
      <c r="H6" s="25"/>
      <c r="I6" s="25" t="s">
        <v>43</v>
      </c>
      <c r="J6" s="25" t="s">
        <v>43</v>
      </c>
      <c r="K6" s="25" t="s">
        <v>43</v>
      </c>
      <c r="L6" s="25" t="s">
        <v>43</v>
      </c>
    </row>
    <row r="7" spans="1:12" x14ac:dyDescent="0.25">
      <c r="A7" s="25">
        <v>4</v>
      </c>
      <c r="B7" s="25">
        <v>0</v>
      </c>
      <c r="C7" s="25" t="e">
        <f>INDEX(cursoDisciplina!$A$4:$F$112,MATCH(disciplinaGrade!B7,cursoDisciplina!$A$4:$A$112,0),MATCH(cursoDisciplina!$C$4,cursoDisciplina!$A$4:$F$4,0))</f>
        <v>#N/A</v>
      </c>
      <c r="D7" t="e">
        <f>INDEX(cursoDisciplina!$A$4:$F$112,MATCH(disciplinaGrade!B7,cursoDisciplina!$A$4:$A$112,0),MATCH(cursoDisciplina!$E$4,cursoDisciplina!$A$4:$F$4,0))</f>
        <v>#N/A</v>
      </c>
      <c r="E7" t="s">
        <v>13</v>
      </c>
      <c r="F7" t="s">
        <v>10</v>
      </c>
      <c r="G7" s="25" t="s">
        <v>43</v>
      </c>
      <c r="H7" s="25" t="s">
        <v>43</v>
      </c>
      <c r="I7" s="25" t="s">
        <v>43</v>
      </c>
      <c r="J7" s="25" t="s">
        <v>43</v>
      </c>
      <c r="K7" s="25"/>
      <c r="L7" s="25"/>
    </row>
    <row r="8" spans="1:12" x14ac:dyDescent="0.25">
      <c r="A8" s="25">
        <v>5</v>
      </c>
      <c r="B8" s="25">
        <v>0</v>
      </c>
      <c r="C8" s="25" t="e">
        <f>INDEX(cursoDisciplina!$A$4:$F$112,MATCH(disciplinaGrade!B8,cursoDisciplina!$A$4:$A$112,0),MATCH(cursoDisciplina!$C$4,cursoDisciplina!$A$4:$F$4,0))</f>
        <v>#N/A</v>
      </c>
      <c r="D8" t="e">
        <f>INDEX(cursoDisciplina!$A$4:$F$112,MATCH(disciplinaGrade!B8,cursoDisciplina!$A$4:$A$112,0),MATCH(cursoDisciplina!$E$4,cursoDisciplina!$A$4:$F$4,0))</f>
        <v>#N/A</v>
      </c>
      <c r="E8" t="s">
        <v>11</v>
      </c>
      <c r="F8" t="s">
        <v>10</v>
      </c>
      <c r="G8" s="25" t="s">
        <v>43</v>
      </c>
      <c r="H8" s="25" t="s">
        <v>43</v>
      </c>
      <c r="I8" s="25" t="s">
        <v>43</v>
      </c>
      <c r="J8" s="25" t="s">
        <v>43</v>
      </c>
      <c r="K8" s="25" t="s">
        <v>43</v>
      </c>
      <c r="L8" s="25" t="s">
        <v>43</v>
      </c>
    </row>
    <row r="9" spans="1:12" x14ac:dyDescent="0.25">
      <c r="A9" s="25">
        <v>6</v>
      </c>
      <c r="B9" s="25">
        <v>0</v>
      </c>
      <c r="C9" s="25" t="e">
        <f>INDEX(cursoDisciplina!$A$4:$F$112,MATCH(disciplinaGrade!B9,cursoDisciplina!$A$4:$A$112,0),MATCH(cursoDisciplina!$C$4,cursoDisciplina!$A$4:$F$4,0))</f>
        <v>#N/A</v>
      </c>
      <c r="D9" t="e">
        <f>INDEX(cursoDisciplina!$A$4:$F$112,MATCH(disciplinaGrade!B9,cursoDisciplina!$A$4:$A$112,0),MATCH(cursoDisciplina!$E$4,cursoDisciplina!$A$4:$F$4,0))</f>
        <v>#N/A</v>
      </c>
      <c r="E9" t="s">
        <v>11</v>
      </c>
      <c r="F9" t="s">
        <v>10</v>
      </c>
      <c r="G9" s="25" t="s">
        <v>43</v>
      </c>
      <c r="H9" s="25" t="s">
        <v>43</v>
      </c>
      <c r="I9" s="25" t="s">
        <v>43</v>
      </c>
      <c r="J9" s="25" t="s">
        <v>43</v>
      </c>
      <c r="K9" s="25" t="s">
        <v>43</v>
      </c>
      <c r="L9" s="25" t="s">
        <v>43</v>
      </c>
    </row>
    <row r="10" spans="1:12" x14ac:dyDescent="0.25">
      <c r="A10" s="25">
        <v>7</v>
      </c>
      <c r="B10" s="25">
        <v>0</v>
      </c>
      <c r="C10" s="25" t="e">
        <f>INDEX(cursoDisciplina!$A$4:$F$112,MATCH(disciplinaGrade!B10,cursoDisciplina!$A$4:$A$112,0),MATCH(cursoDisciplina!$C$4,cursoDisciplina!$A$4:$F$4,0))</f>
        <v>#N/A</v>
      </c>
      <c r="D10" t="e">
        <f>INDEX(cursoDisciplina!$A$4:$F$112,MATCH(disciplinaGrade!B10,cursoDisciplina!$A$4:$A$112,0),MATCH(cursoDisciplina!$E$4,cursoDisciplina!$A$4:$F$4,0))</f>
        <v>#N/A</v>
      </c>
      <c r="E10" t="s">
        <v>11</v>
      </c>
      <c r="F10" t="s">
        <v>10</v>
      </c>
      <c r="G10" s="25" t="s">
        <v>43</v>
      </c>
      <c r="H10" s="25" t="s">
        <v>43</v>
      </c>
      <c r="I10" s="25" t="s">
        <v>43</v>
      </c>
      <c r="J10" s="25" t="s">
        <v>43</v>
      </c>
      <c r="K10" s="25" t="s">
        <v>43</v>
      </c>
      <c r="L10" s="25" t="s">
        <v>43</v>
      </c>
    </row>
    <row r="11" spans="1:12" x14ac:dyDescent="0.25">
      <c r="A11" s="25">
        <v>8</v>
      </c>
      <c r="B11" s="25">
        <v>0</v>
      </c>
      <c r="C11" s="25" t="e">
        <f>INDEX(cursoDisciplina!$A$4:$F$112,MATCH(disciplinaGrade!B11,cursoDisciplina!$A$4:$A$112,0),MATCH(cursoDisciplina!$C$4,cursoDisciplina!$A$4:$F$4,0))</f>
        <v>#N/A</v>
      </c>
      <c r="D11" t="e">
        <f>INDEX(cursoDisciplina!$A$4:$F$112,MATCH(disciplinaGrade!B11,cursoDisciplina!$A$4:$A$112,0),MATCH(cursoDisciplina!$E$4,cursoDisciplina!$A$4:$F$4,0))</f>
        <v>#N/A</v>
      </c>
      <c r="E11" t="s">
        <v>11</v>
      </c>
      <c r="F11" t="s">
        <v>10</v>
      </c>
      <c r="G11" s="25" t="s">
        <v>43</v>
      </c>
      <c r="H11" s="25" t="s">
        <v>43</v>
      </c>
      <c r="I11" s="25" t="s">
        <v>43</v>
      </c>
      <c r="J11" s="25" t="s">
        <v>43</v>
      </c>
      <c r="K11" s="25" t="s">
        <v>43</v>
      </c>
      <c r="L11" s="25" t="s">
        <v>43</v>
      </c>
    </row>
    <row r="12" spans="1:12" x14ac:dyDescent="0.25">
      <c r="A12" s="25">
        <v>9</v>
      </c>
      <c r="B12" s="25">
        <v>0</v>
      </c>
      <c r="C12" s="25" t="e">
        <f>INDEX(cursoDisciplina!$A$4:$F$112,MATCH(disciplinaGrade!B12,cursoDisciplina!$A$4:$A$112,0),MATCH(cursoDisciplina!$C$4,cursoDisciplina!$A$4:$F$4,0))</f>
        <v>#N/A</v>
      </c>
      <c r="D12" t="e">
        <f>INDEX(cursoDisciplina!$A$4:$F$112,MATCH(disciplinaGrade!B12,cursoDisciplina!$A$4:$A$112,0),MATCH(cursoDisciplina!$E$4,cursoDisciplina!$A$4:$F$4,0))</f>
        <v>#N/A</v>
      </c>
      <c r="E12" t="s">
        <v>11</v>
      </c>
      <c r="F12" t="s">
        <v>10</v>
      </c>
      <c r="G12" s="25" t="s">
        <v>43</v>
      </c>
      <c r="H12" s="25" t="s">
        <v>43</v>
      </c>
      <c r="I12" s="25" t="s">
        <v>43</v>
      </c>
      <c r="J12" s="25" t="s">
        <v>43</v>
      </c>
      <c r="K12" s="25" t="s">
        <v>43</v>
      </c>
      <c r="L12" s="25" t="s">
        <v>43</v>
      </c>
    </row>
    <row r="13" spans="1:12" x14ac:dyDescent="0.25">
      <c r="A13" s="25">
        <v>10</v>
      </c>
      <c r="B13" s="25">
        <v>0</v>
      </c>
      <c r="C13" s="25" t="e">
        <f>INDEX(cursoDisciplina!$A$4:$F$112,MATCH(disciplinaGrade!B13,cursoDisciplina!$A$4:$A$112,0),MATCH(cursoDisciplina!$C$4,cursoDisciplina!$A$4:$F$4,0))</f>
        <v>#N/A</v>
      </c>
      <c r="D13" t="e">
        <f>INDEX(cursoDisciplina!$A$4:$F$112,MATCH(disciplinaGrade!B13,cursoDisciplina!$A$4:$A$112,0),MATCH(cursoDisciplina!$E$4,cursoDisciplina!$A$4:$F$4,0))</f>
        <v>#N/A</v>
      </c>
      <c r="E13" t="s">
        <v>11</v>
      </c>
      <c r="F13" t="s">
        <v>10</v>
      </c>
      <c r="G13" s="25" t="s">
        <v>43</v>
      </c>
      <c r="H13" s="25" t="s">
        <v>43</v>
      </c>
      <c r="I13" s="25" t="s">
        <v>43</v>
      </c>
      <c r="J13" s="25" t="s">
        <v>43</v>
      </c>
      <c r="K13" s="25" t="s">
        <v>43</v>
      </c>
      <c r="L13" s="25" t="s">
        <v>43</v>
      </c>
    </row>
    <row r="14" spans="1:12" x14ac:dyDescent="0.25">
      <c r="A14" s="25">
        <v>11</v>
      </c>
      <c r="B14" s="25">
        <v>0</v>
      </c>
      <c r="C14" s="25" t="e">
        <f>INDEX(cursoDisciplina!$A$4:$F$112,MATCH(disciplinaGrade!B14,cursoDisciplina!$A$4:$A$112,0),MATCH(cursoDisciplina!$C$4,cursoDisciplina!$A$4:$F$4,0))</f>
        <v>#N/A</v>
      </c>
      <c r="D14" t="e">
        <f>INDEX(cursoDisciplina!$A$4:$F$112,MATCH(disciplinaGrade!B14,cursoDisciplina!$A$4:$A$112,0),MATCH(cursoDisciplina!$E$4,cursoDisciplina!$A$4:$F$4,0))</f>
        <v>#N/A</v>
      </c>
      <c r="E14" t="s">
        <v>11</v>
      </c>
      <c r="F14" t="s">
        <v>10</v>
      </c>
      <c r="G14" s="25" t="s">
        <v>43</v>
      </c>
      <c r="H14" s="25" t="s">
        <v>43</v>
      </c>
      <c r="I14" s="25" t="s">
        <v>43</v>
      </c>
      <c r="J14" s="25" t="s">
        <v>43</v>
      </c>
      <c r="K14" s="25" t="s">
        <v>43</v>
      </c>
      <c r="L14" s="25" t="s">
        <v>43</v>
      </c>
    </row>
    <row r="15" spans="1:12" x14ac:dyDescent="0.25">
      <c r="A15" s="25">
        <v>12</v>
      </c>
      <c r="B15" s="25">
        <v>0</v>
      </c>
      <c r="C15" s="25" t="e">
        <f>INDEX(cursoDisciplina!$A$4:$F$112,MATCH(disciplinaGrade!B15,cursoDisciplina!$A$4:$A$112,0),MATCH(cursoDisciplina!$C$4,cursoDisciplina!$A$4:$F$4,0))</f>
        <v>#N/A</v>
      </c>
      <c r="D15" t="e">
        <f>INDEX(cursoDisciplina!$A$4:$F$112,MATCH(disciplinaGrade!B15,cursoDisciplina!$A$4:$A$112,0),MATCH(cursoDisciplina!$E$4,cursoDisciplina!$A$4:$F$4,0))</f>
        <v>#N/A</v>
      </c>
      <c r="E15" t="s">
        <v>11</v>
      </c>
      <c r="F15" t="s">
        <v>10</v>
      </c>
      <c r="G15" s="25" t="s">
        <v>43</v>
      </c>
      <c r="H15" s="25" t="s">
        <v>43</v>
      </c>
      <c r="I15" s="25" t="s">
        <v>43</v>
      </c>
      <c r="J15" s="25" t="s">
        <v>43</v>
      </c>
      <c r="K15" s="25" t="s">
        <v>43</v>
      </c>
      <c r="L15" s="25" t="s">
        <v>43</v>
      </c>
    </row>
    <row r="16" spans="1:12" x14ac:dyDescent="0.25">
      <c r="A16" s="25">
        <v>13</v>
      </c>
      <c r="B16" s="25">
        <v>0</v>
      </c>
      <c r="C16" s="25" t="e">
        <f>INDEX(cursoDisciplina!$A$4:$F$112,MATCH(disciplinaGrade!B16,cursoDisciplina!$A$4:$A$112,0),MATCH(cursoDisciplina!$C$4,cursoDisciplina!$A$4:$F$4,0))</f>
        <v>#N/A</v>
      </c>
      <c r="D16" t="e">
        <f>INDEX(cursoDisciplina!$A$4:$F$112,MATCH(disciplinaGrade!B16,cursoDisciplina!$A$4:$A$112,0),MATCH(cursoDisciplina!$E$4,cursoDisciplina!$A$4:$F$4,0))</f>
        <v>#N/A</v>
      </c>
      <c r="E16" t="s">
        <v>11</v>
      </c>
      <c r="F16" t="s">
        <v>10</v>
      </c>
      <c r="G16" s="25" t="s">
        <v>43</v>
      </c>
      <c r="H16" s="25" t="s">
        <v>43</v>
      </c>
      <c r="I16" s="25" t="s">
        <v>43</v>
      </c>
      <c r="J16" s="25" t="s">
        <v>43</v>
      </c>
      <c r="K16" s="25" t="s">
        <v>43</v>
      </c>
      <c r="L16" s="25" t="s">
        <v>43</v>
      </c>
    </row>
    <row r="17" spans="1:12" x14ac:dyDescent="0.25">
      <c r="A17" s="25">
        <v>14</v>
      </c>
      <c r="B17" s="25">
        <v>0</v>
      </c>
      <c r="C17" s="25" t="e">
        <f>INDEX(cursoDisciplina!$A$4:$F$112,MATCH(disciplinaGrade!B17,cursoDisciplina!$A$4:$A$112,0),MATCH(cursoDisciplina!$C$4,cursoDisciplina!$A$4:$F$4,0))</f>
        <v>#N/A</v>
      </c>
      <c r="D17" t="e">
        <f>INDEX(cursoDisciplina!$A$4:$F$112,MATCH(disciplinaGrade!B17,cursoDisciplina!$A$4:$A$112,0),MATCH(cursoDisciplina!$E$4,cursoDisciplina!$A$4:$F$4,0))</f>
        <v>#N/A</v>
      </c>
      <c r="E17" t="s">
        <v>11</v>
      </c>
      <c r="F17" t="s">
        <v>10</v>
      </c>
      <c r="G17" s="25" t="s">
        <v>43</v>
      </c>
      <c r="H17" s="25" t="s">
        <v>43</v>
      </c>
      <c r="I17" s="25" t="s">
        <v>43</v>
      </c>
      <c r="J17" s="25" t="s">
        <v>43</v>
      </c>
      <c r="K17" s="25" t="s">
        <v>43</v>
      </c>
      <c r="L17" s="25" t="s">
        <v>43</v>
      </c>
    </row>
    <row r="18" spans="1:12" x14ac:dyDescent="0.25">
      <c r="A18" s="25">
        <v>15</v>
      </c>
      <c r="B18" s="25">
        <v>0</v>
      </c>
      <c r="C18" s="25" t="e">
        <f>INDEX(cursoDisciplina!$A$4:$F$112,MATCH(disciplinaGrade!B18,cursoDisciplina!$A$4:$A$112,0),MATCH(cursoDisciplina!$C$4,cursoDisciplina!$A$4:$F$4,0))</f>
        <v>#N/A</v>
      </c>
      <c r="D18" t="e">
        <f>INDEX(cursoDisciplina!$A$4:$F$112,MATCH(disciplinaGrade!B18,cursoDisciplina!$A$4:$A$112,0),MATCH(cursoDisciplina!$E$4,cursoDisciplina!$A$4:$F$4,0))</f>
        <v>#N/A</v>
      </c>
      <c r="E18" t="s">
        <v>11</v>
      </c>
      <c r="F18" t="s">
        <v>10</v>
      </c>
      <c r="G18" s="25" t="s">
        <v>43</v>
      </c>
      <c r="H18" s="25" t="s">
        <v>43</v>
      </c>
      <c r="I18" s="25" t="s">
        <v>43</v>
      </c>
      <c r="J18" s="25" t="s">
        <v>43</v>
      </c>
      <c r="K18" s="25" t="s">
        <v>43</v>
      </c>
      <c r="L18" s="25" t="s">
        <v>43</v>
      </c>
    </row>
    <row r="19" spans="1:12" x14ac:dyDescent="0.25">
      <c r="A19" s="25">
        <v>16</v>
      </c>
      <c r="B19" s="25">
        <v>0</v>
      </c>
      <c r="C19" s="25" t="e">
        <f>INDEX(cursoDisciplina!$A$4:$F$112,MATCH(disciplinaGrade!B19,cursoDisciplina!$A$4:$A$112,0),MATCH(cursoDisciplina!$C$4,cursoDisciplina!$A$4:$F$4,0))</f>
        <v>#N/A</v>
      </c>
      <c r="D19" t="e">
        <f>INDEX(cursoDisciplina!$A$4:$F$112,MATCH(disciplinaGrade!B19,cursoDisciplina!$A$4:$A$112,0),MATCH(cursoDisciplina!$E$4,cursoDisciplina!$A$4:$F$4,0))</f>
        <v>#N/A</v>
      </c>
      <c r="E19" t="s">
        <v>11</v>
      </c>
      <c r="F19" t="s">
        <v>10</v>
      </c>
      <c r="G19" s="25" t="s">
        <v>43</v>
      </c>
      <c r="H19" s="25" t="s">
        <v>43</v>
      </c>
      <c r="I19" s="25" t="s">
        <v>43</v>
      </c>
      <c r="J19" s="25" t="s">
        <v>43</v>
      </c>
      <c r="K19" s="25" t="s">
        <v>43</v>
      </c>
      <c r="L19" s="25" t="s">
        <v>43</v>
      </c>
    </row>
    <row r="20" spans="1:12" x14ac:dyDescent="0.25">
      <c r="A20" s="25">
        <v>17</v>
      </c>
      <c r="B20" s="25">
        <v>1</v>
      </c>
      <c r="C20" s="25" t="str">
        <f>INDEX(cursoDisciplina!$A$4:$F$112,MATCH(disciplinaGrade!B20,cursoDisciplina!$A$4:$A$112,0),MATCH(cursoDisciplina!$C$4,cursoDisciplina!$A$4:$F$4,0))</f>
        <v>ADS</v>
      </c>
      <c r="D20" t="str">
        <f>INDEX(cursoDisciplina!$A$4:$F$112,MATCH(disciplinaGrade!B20,cursoDisciplina!$A$4:$A$112,0),MATCH(cursoDisciplina!$E$4,cursoDisciplina!$A$4:$F$4,0))</f>
        <v>laboratóeio de engenharia de Software</v>
      </c>
      <c r="E20" t="s">
        <v>12</v>
      </c>
      <c r="F20" t="s">
        <v>14</v>
      </c>
      <c r="G20" s="25" t="s">
        <v>43</v>
      </c>
      <c r="H20" s="25" t="s">
        <v>43</v>
      </c>
      <c r="I20" s="25" t="s">
        <v>43</v>
      </c>
      <c r="J20" s="25" t="s">
        <v>43</v>
      </c>
      <c r="K20" s="25"/>
      <c r="L20" s="25"/>
    </row>
    <row r="21" spans="1:12" x14ac:dyDescent="0.25">
      <c r="A21" s="25">
        <v>18</v>
      </c>
      <c r="B21" s="25">
        <v>1</v>
      </c>
      <c r="C21" s="25" t="str">
        <f>INDEX(cursoDisciplina!$A$4:$F$112,MATCH(disciplinaGrade!B21,cursoDisciplina!$A$4:$A$112,0),MATCH(cursoDisciplina!$C$4,cursoDisciplina!$A$4:$F$4,0))</f>
        <v>ADS</v>
      </c>
      <c r="D21" t="str">
        <f>INDEX(cursoDisciplina!$A$4:$F$112,MATCH(disciplinaGrade!B21,cursoDisciplina!$A$4:$A$112,0),MATCH(cursoDisciplina!$E$4,cursoDisciplina!$A$4:$F$4,0))</f>
        <v>laboratóeio de engenharia de Software</v>
      </c>
      <c r="E21" t="s">
        <v>12</v>
      </c>
      <c r="F21" t="s">
        <v>15</v>
      </c>
      <c r="G21" s="25"/>
      <c r="H21" s="25"/>
      <c r="I21" s="25" t="s">
        <v>43</v>
      </c>
      <c r="J21" s="25" t="s">
        <v>43</v>
      </c>
      <c r="K21" s="25" t="s">
        <v>43</v>
      </c>
      <c r="L21" s="25" t="s">
        <v>43</v>
      </c>
    </row>
    <row r="22" spans="1:12" x14ac:dyDescent="0.25">
      <c r="A22" s="25">
        <v>19</v>
      </c>
      <c r="B22" s="25">
        <v>3</v>
      </c>
      <c r="C22" s="25" t="str">
        <f>INDEX(cursoDisciplina!$A$4:$F$112,MATCH(disciplinaGrade!B22,cursoDisciplina!$A$4:$A$112,0),MATCH(cursoDisciplina!$C$4,cursoDisciplina!$A$4:$F$4,0))</f>
        <v>ADS</v>
      </c>
      <c r="D22" t="str">
        <f>INDEX(cursoDisciplina!$A$4:$F$112,MATCH(disciplinaGrade!B22,cursoDisciplina!$A$4:$A$112,0),MATCH(cursoDisciplina!$E$4,cursoDisciplina!$A$4:$F$4,0))</f>
        <v>PEM</v>
      </c>
      <c r="E22" t="s">
        <v>13</v>
      </c>
      <c r="F22" t="s">
        <v>14</v>
      </c>
      <c r="G22" s="25" t="s">
        <v>43</v>
      </c>
      <c r="H22" s="25" t="s">
        <v>43</v>
      </c>
      <c r="I22" s="25" t="s">
        <v>43</v>
      </c>
      <c r="J22" s="25" t="s">
        <v>43</v>
      </c>
      <c r="K22" s="25"/>
      <c r="L22" s="25"/>
    </row>
    <row r="23" spans="1:12" x14ac:dyDescent="0.25">
      <c r="A23" s="25">
        <v>20</v>
      </c>
      <c r="B23" s="25">
        <v>4</v>
      </c>
      <c r="C23" s="25" t="str">
        <f>INDEX(cursoDisciplina!$A$4:$F$112,MATCH(disciplinaGrade!B23,cursoDisciplina!$A$4:$A$112,0),MATCH(cursoDisciplina!$C$4,cursoDisciplina!$A$4:$F$4,0))</f>
        <v>BigData</v>
      </c>
      <c r="D23" t="str">
        <f>INDEX(cursoDisciplina!$A$4:$F$112,MATCH(disciplinaGrade!B23,cursoDisciplina!$A$4:$A$112,0),MATCH(cursoDisciplina!$E$4,cursoDisciplina!$A$4:$F$4,0))</f>
        <v>Estrutura de Dados</v>
      </c>
      <c r="E23" t="s">
        <v>13</v>
      </c>
      <c r="F23" t="s">
        <v>10</v>
      </c>
      <c r="G23" s="25"/>
      <c r="H23" s="25"/>
      <c r="I23" s="25" t="s">
        <v>43</v>
      </c>
      <c r="J23" s="25" t="s">
        <v>43</v>
      </c>
      <c r="K23" s="25" t="s">
        <v>43</v>
      </c>
      <c r="L23" s="25" t="s">
        <v>43</v>
      </c>
    </row>
    <row r="24" spans="1:12" x14ac:dyDescent="0.25">
      <c r="A24" s="25">
        <v>21</v>
      </c>
      <c r="B24" s="25">
        <v>21</v>
      </c>
      <c r="C24" s="25" t="str">
        <f>INDEX(cursoDisciplina!$A$4:$F$112,MATCH(disciplinaGrade!B24,cursoDisciplina!$A$4:$A$112,0),MATCH(cursoDisciplina!$C$4,cursoDisciplina!$A$4:$F$4,0))</f>
        <v>BigData</v>
      </c>
      <c r="D24" t="str">
        <f>INDEX(cursoDisciplina!$A$4:$F$112,MATCH(disciplinaGrade!B24,cursoDisciplina!$A$4:$A$112,0),MATCH(cursoDisciplina!$E$4,cursoDisciplina!$A$4:$F$4,0))</f>
        <v>Disciplina 6</v>
      </c>
      <c r="E24" t="s">
        <v>11</v>
      </c>
      <c r="F24" t="s">
        <v>10</v>
      </c>
      <c r="G24" s="25" t="s">
        <v>43</v>
      </c>
      <c r="H24" s="25" t="s">
        <v>43</v>
      </c>
      <c r="I24" s="25" t="s">
        <v>43</v>
      </c>
      <c r="J24" s="25" t="s">
        <v>43</v>
      </c>
      <c r="K24" s="25" t="s">
        <v>43</v>
      </c>
      <c r="L24" s="25" t="s">
        <v>43</v>
      </c>
    </row>
    <row r="25" spans="1:12" x14ac:dyDescent="0.25">
      <c r="A25" s="25">
        <v>22</v>
      </c>
      <c r="B25" s="25">
        <v>22</v>
      </c>
      <c r="C25" s="25" t="str">
        <f>INDEX(cursoDisciplina!$A$4:$F$112,MATCH(disciplinaGrade!B25,cursoDisciplina!$A$4:$A$112,0),MATCH(cursoDisciplina!$C$4,cursoDisciplina!$A$4:$F$4,0))</f>
        <v>BigData</v>
      </c>
      <c r="D25" t="str">
        <f>INDEX(cursoDisciplina!$A$4:$F$112,MATCH(disciplinaGrade!B25,cursoDisciplina!$A$4:$A$112,0),MATCH(cursoDisciplina!$E$4,cursoDisciplina!$A$4:$F$4,0))</f>
        <v>Disciplina 7</v>
      </c>
      <c r="E25" t="s">
        <v>11</v>
      </c>
      <c r="F25" t="s">
        <v>10</v>
      </c>
      <c r="G25" s="25" t="s">
        <v>43</v>
      </c>
      <c r="H25" s="25" t="s">
        <v>43</v>
      </c>
      <c r="I25" s="25" t="s">
        <v>43</v>
      </c>
      <c r="J25" s="25" t="s">
        <v>43</v>
      </c>
      <c r="K25" s="25" t="s">
        <v>43</v>
      </c>
      <c r="L25" s="25" t="s">
        <v>43</v>
      </c>
    </row>
    <row r="26" spans="1:12" x14ac:dyDescent="0.25">
      <c r="A26" s="25">
        <v>23</v>
      </c>
      <c r="B26" s="25">
        <v>23</v>
      </c>
      <c r="C26" s="25" t="str">
        <f>INDEX(cursoDisciplina!$A$4:$F$112,MATCH(disciplinaGrade!B26,cursoDisciplina!$A$4:$A$112,0),MATCH(cursoDisciplina!$C$4,cursoDisciplina!$A$4:$F$4,0))</f>
        <v>BigData</v>
      </c>
      <c r="D26" t="str">
        <f>INDEX(cursoDisciplina!$A$4:$F$112,MATCH(disciplinaGrade!B26,cursoDisciplina!$A$4:$A$112,0),MATCH(cursoDisciplina!$E$4,cursoDisciplina!$A$4:$F$4,0))</f>
        <v>Disciplina 8</v>
      </c>
      <c r="E26" t="s">
        <v>11</v>
      </c>
      <c r="F26" t="s">
        <v>10</v>
      </c>
      <c r="G26" s="25" t="s">
        <v>43</v>
      </c>
      <c r="H26" s="25" t="s">
        <v>43</v>
      </c>
      <c r="I26" s="25" t="s">
        <v>43</v>
      </c>
      <c r="J26" s="25" t="s">
        <v>43</v>
      </c>
      <c r="K26" s="25" t="s">
        <v>43</v>
      </c>
      <c r="L26" s="25" t="s">
        <v>43</v>
      </c>
    </row>
    <row r="27" spans="1:12" x14ac:dyDescent="0.25">
      <c r="A27" s="25">
        <v>24</v>
      </c>
      <c r="B27" s="25">
        <v>24</v>
      </c>
      <c r="C27" s="25" t="str">
        <f>INDEX(cursoDisciplina!$A$4:$F$112,MATCH(disciplinaGrade!B27,cursoDisciplina!$A$4:$A$112,0),MATCH(cursoDisciplina!$C$4,cursoDisciplina!$A$4:$F$4,0))</f>
        <v>BigData</v>
      </c>
      <c r="D27" t="str">
        <f>INDEX(cursoDisciplina!$A$4:$F$112,MATCH(disciplinaGrade!B27,cursoDisciplina!$A$4:$A$112,0),MATCH(cursoDisciplina!$E$4,cursoDisciplina!$A$4:$F$4,0))</f>
        <v>Disciplina 9</v>
      </c>
      <c r="E27" t="s">
        <v>11</v>
      </c>
      <c r="F27" t="s">
        <v>10</v>
      </c>
      <c r="G27" s="25" t="s">
        <v>43</v>
      </c>
      <c r="H27" s="25" t="s">
        <v>43</v>
      </c>
      <c r="I27" s="25" t="s">
        <v>43</v>
      </c>
      <c r="J27" s="25" t="s">
        <v>43</v>
      </c>
      <c r="K27" s="25" t="s">
        <v>43</v>
      </c>
      <c r="L27" s="25" t="s">
        <v>43</v>
      </c>
    </row>
    <row r="28" spans="1:12" x14ac:dyDescent="0.25">
      <c r="A28" s="25">
        <v>25</v>
      </c>
      <c r="B28" s="25">
        <v>25</v>
      </c>
      <c r="C28" s="25" t="str">
        <f>INDEX(cursoDisciplina!$A$4:$F$112,MATCH(disciplinaGrade!B28,cursoDisciplina!$A$4:$A$112,0),MATCH(cursoDisciplina!$C$4,cursoDisciplina!$A$4:$F$4,0))</f>
        <v>BigData</v>
      </c>
      <c r="D28" t="str">
        <f>INDEX(cursoDisciplina!$A$4:$F$112,MATCH(disciplinaGrade!B28,cursoDisciplina!$A$4:$A$112,0),MATCH(cursoDisciplina!$E$4,cursoDisciplina!$A$4:$F$4,0))</f>
        <v>Disciplina 10</v>
      </c>
      <c r="E28" t="s">
        <v>11</v>
      </c>
      <c r="F28" t="s">
        <v>10</v>
      </c>
      <c r="G28" s="25" t="s">
        <v>43</v>
      </c>
      <c r="H28" s="25" t="s">
        <v>43</v>
      </c>
      <c r="I28" s="25" t="s">
        <v>43</v>
      </c>
      <c r="J28" s="25" t="s">
        <v>43</v>
      </c>
      <c r="K28" s="25" t="s">
        <v>43</v>
      </c>
      <c r="L28" s="25" t="s">
        <v>43</v>
      </c>
    </row>
    <row r="29" spans="1:12" x14ac:dyDescent="0.25">
      <c r="A29" s="25">
        <v>26</v>
      </c>
      <c r="B29" s="25">
        <v>26</v>
      </c>
      <c r="C29" s="25" t="str">
        <f>INDEX(cursoDisciplina!$A$4:$F$112,MATCH(disciplinaGrade!B29,cursoDisciplina!$A$4:$A$112,0),MATCH(cursoDisciplina!$C$4,cursoDisciplina!$A$4:$F$4,0))</f>
        <v>BigData</v>
      </c>
      <c r="D29" t="str">
        <f>INDEX(cursoDisciplina!$A$4:$F$112,MATCH(disciplinaGrade!B29,cursoDisciplina!$A$4:$A$112,0),MATCH(cursoDisciplina!$E$4,cursoDisciplina!$A$4:$F$4,0))</f>
        <v>Disciplina 11</v>
      </c>
      <c r="E29" t="s">
        <v>11</v>
      </c>
      <c r="F29" t="s">
        <v>10</v>
      </c>
      <c r="G29" s="25" t="s">
        <v>43</v>
      </c>
      <c r="H29" s="25" t="s">
        <v>43</v>
      </c>
      <c r="I29" s="25" t="s">
        <v>43</v>
      </c>
      <c r="J29" s="25" t="s">
        <v>43</v>
      </c>
      <c r="K29" s="25" t="s">
        <v>43</v>
      </c>
      <c r="L29" s="25" t="s">
        <v>43</v>
      </c>
    </row>
    <row r="30" spans="1:12" x14ac:dyDescent="0.25">
      <c r="A30" s="25">
        <v>27</v>
      </c>
      <c r="B30" s="25">
        <v>27</v>
      </c>
      <c r="C30" s="25" t="str">
        <f>INDEX(cursoDisciplina!$A$4:$F$112,MATCH(disciplinaGrade!B30,cursoDisciplina!$A$4:$A$112,0),MATCH(cursoDisciplina!$C$4,cursoDisciplina!$A$4:$F$4,0))</f>
        <v>BigData</v>
      </c>
      <c r="D30" t="str">
        <f>INDEX(cursoDisciplina!$A$4:$F$112,MATCH(disciplinaGrade!B30,cursoDisciplina!$A$4:$A$112,0),MATCH(cursoDisciplina!$E$4,cursoDisciplina!$A$4:$F$4,0))</f>
        <v>Disciplina 12</v>
      </c>
      <c r="E30" t="s">
        <v>11</v>
      </c>
      <c r="F30" t="s">
        <v>10</v>
      </c>
      <c r="G30" s="25" t="s">
        <v>43</v>
      </c>
      <c r="H30" s="25" t="s">
        <v>43</v>
      </c>
      <c r="I30" s="25" t="s">
        <v>43</v>
      </c>
      <c r="J30" s="25" t="s">
        <v>43</v>
      </c>
      <c r="K30" s="25" t="s">
        <v>43</v>
      </c>
      <c r="L30" s="25" t="s">
        <v>43</v>
      </c>
    </row>
    <row r="31" spans="1:12" x14ac:dyDescent="0.25">
      <c r="A31" s="25">
        <v>28</v>
      </c>
      <c r="B31" s="25">
        <v>28</v>
      </c>
      <c r="C31" s="25" t="str">
        <f>INDEX(cursoDisciplina!$A$4:$F$112,MATCH(disciplinaGrade!B31,cursoDisciplina!$A$4:$A$112,0),MATCH(cursoDisciplina!$C$4,cursoDisciplina!$A$4:$F$4,0))</f>
        <v>BigData</v>
      </c>
      <c r="D31" t="str">
        <f>INDEX(cursoDisciplina!$A$4:$F$112,MATCH(disciplinaGrade!B31,cursoDisciplina!$A$4:$A$112,0),MATCH(cursoDisciplina!$E$4,cursoDisciplina!$A$4:$F$4,0))</f>
        <v>Disciplina 13</v>
      </c>
      <c r="E31" t="s">
        <v>11</v>
      </c>
      <c r="F31" t="s">
        <v>10</v>
      </c>
      <c r="G31" s="25" t="s">
        <v>43</v>
      </c>
      <c r="H31" s="25" t="s">
        <v>43</v>
      </c>
      <c r="I31" s="25" t="s">
        <v>43</v>
      </c>
      <c r="J31" s="25" t="s">
        <v>43</v>
      </c>
      <c r="K31" s="25" t="s">
        <v>43</v>
      </c>
      <c r="L31" s="25" t="s">
        <v>43</v>
      </c>
    </row>
    <row r="32" spans="1:12" x14ac:dyDescent="0.25">
      <c r="A32" s="25">
        <v>29</v>
      </c>
      <c r="B32" s="25">
        <v>29</v>
      </c>
      <c r="C32" s="25" t="str">
        <f>INDEX(cursoDisciplina!$A$4:$F$112,MATCH(disciplinaGrade!B32,cursoDisciplina!$A$4:$A$112,0),MATCH(cursoDisciplina!$C$4,cursoDisciplina!$A$4:$F$4,0))</f>
        <v>BigData</v>
      </c>
      <c r="D32" t="str">
        <f>INDEX(cursoDisciplina!$A$4:$F$112,MATCH(disciplinaGrade!B32,cursoDisciplina!$A$4:$A$112,0),MATCH(cursoDisciplina!$E$4,cursoDisciplina!$A$4:$F$4,0))</f>
        <v>Disciplina 14</v>
      </c>
      <c r="E32" t="s">
        <v>11</v>
      </c>
      <c r="F32" t="s">
        <v>10</v>
      </c>
      <c r="G32" s="25" t="s">
        <v>43</v>
      </c>
      <c r="H32" s="25" t="s">
        <v>43</v>
      </c>
      <c r="I32" s="25" t="s">
        <v>43</v>
      </c>
      <c r="J32" s="25" t="s">
        <v>43</v>
      </c>
      <c r="K32" s="25" t="s">
        <v>43</v>
      </c>
      <c r="L32" s="25" t="s">
        <v>43</v>
      </c>
    </row>
    <row r="33" spans="1:12" x14ac:dyDescent="0.25">
      <c r="A33" s="25">
        <v>30</v>
      </c>
      <c r="B33" s="25">
        <v>30</v>
      </c>
      <c r="C33" s="25" t="str">
        <f>INDEX(cursoDisciplina!$A$4:$F$112,MATCH(disciplinaGrade!B33,cursoDisciplina!$A$4:$A$112,0),MATCH(cursoDisciplina!$C$4,cursoDisciplina!$A$4:$F$4,0))</f>
        <v>curso 3</v>
      </c>
      <c r="D33" t="str">
        <f>INDEX(cursoDisciplina!$A$4:$F$112,MATCH(disciplinaGrade!B33,cursoDisciplina!$A$4:$A$112,0),MATCH(cursoDisciplina!$E$4,cursoDisciplina!$A$4:$F$4,0))</f>
        <v>laboratóeio de engenharia de Software</v>
      </c>
      <c r="E33" t="s">
        <v>11</v>
      </c>
      <c r="F33" t="s">
        <v>10</v>
      </c>
      <c r="G33" s="25" t="s">
        <v>43</v>
      </c>
      <c r="H33" s="25" t="s">
        <v>43</v>
      </c>
      <c r="I33" s="25" t="s">
        <v>43</v>
      </c>
      <c r="J33" s="25" t="s">
        <v>43</v>
      </c>
      <c r="K33" s="25" t="s">
        <v>43</v>
      </c>
      <c r="L33" s="25" t="s">
        <v>43</v>
      </c>
    </row>
    <row r="34" spans="1:12" x14ac:dyDescent="0.25">
      <c r="A34" s="25">
        <v>31</v>
      </c>
      <c r="B34" s="25">
        <v>31</v>
      </c>
      <c r="C34" s="25" t="str">
        <f>INDEX(cursoDisciplina!$A$4:$F$112,MATCH(disciplinaGrade!B34,cursoDisciplina!$A$4:$A$112,0),MATCH(cursoDisciplina!$C$4,cursoDisciplina!$A$4:$F$4,0))</f>
        <v>curso 3</v>
      </c>
      <c r="D34" t="str">
        <f>INDEX(cursoDisciplina!$A$4:$F$112,MATCH(disciplinaGrade!B34,cursoDisciplina!$A$4:$A$112,0),MATCH(cursoDisciplina!$E$4,cursoDisciplina!$A$4:$F$4,0))</f>
        <v>Estrutura de Dados</v>
      </c>
      <c r="E34" t="s">
        <v>11</v>
      </c>
      <c r="F34" t="s">
        <v>10</v>
      </c>
      <c r="G34" s="25" t="s">
        <v>43</v>
      </c>
      <c r="H34" s="25" t="s">
        <v>43</v>
      </c>
      <c r="I34" s="25" t="s">
        <v>43</v>
      </c>
      <c r="J34" s="25" t="s">
        <v>43</v>
      </c>
      <c r="K34" s="25" t="s">
        <v>43</v>
      </c>
      <c r="L34" s="25" t="s">
        <v>43</v>
      </c>
    </row>
    <row r="35" spans="1:12" x14ac:dyDescent="0.25">
      <c r="A35" s="25">
        <v>32</v>
      </c>
      <c r="B35" s="25">
        <v>32</v>
      </c>
      <c r="C35" s="25" t="str">
        <f>INDEX(cursoDisciplina!$A$4:$F$112,MATCH(disciplinaGrade!B35,cursoDisciplina!$A$4:$A$112,0),MATCH(cursoDisciplina!$C$4,cursoDisciplina!$A$4:$F$4,0))</f>
        <v>curso 3</v>
      </c>
      <c r="D35" t="str">
        <f>INDEX(cursoDisciplina!$A$4:$F$112,MATCH(disciplinaGrade!B35,cursoDisciplina!$A$4:$A$112,0),MATCH(cursoDisciplina!$E$4,cursoDisciplina!$A$4:$F$4,0))</f>
        <v>PEM</v>
      </c>
      <c r="E35" t="s">
        <v>11</v>
      </c>
      <c r="F35" t="s">
        <v>10</v>
      </c>
      <c r="G35" s="25" t="s">
        <v>43</v>
      </c>
      <c r="H35" s="25" t="s">
        <v>43</v>
      </c>
      <c r="I35" s="25" t="s">
        <v>43</v>
      </c>
      <c r="J35" s="25" t="s">
        <v>43</v>
      </c>
      <c r="K35" s="25" t="s">
        <v>43</v>
      </c>
      <c r="L35" s="25" t="s">
        <v>43</v>
      </c>
    </row>
    <row r="36" spans="1:12" x14ac:dyDescent="0.25">
      <c r="A36" s="25">
        <v>33</v>
      </c>
      <c r="B36" s="25">
        <v>33</v>
      </c>
      <c r="C36" s="25" t="str">
        <f>INDEX(cursoDisciplina!$A$4:$F$112,MATCH(disciplinaGrade!B36,cursoDisciplina!$A$4:$A$112,0),MATCH(cursoDisciplina!$C$4,cursoDisciplina!$A$4:$F$4,0))</f>
        <v>curso 3</v>
      </c>
      <c r="D36" t="str">
        <f>INDEX(cursoDisciplina!$A$4:$F$112,MATCH(disciplinaGrade!B36,cursoDisciplina!$A$4:$A$112,0),MATCH(cursoDisciplina!$E$4,cursoDisciplina!$A$4:$F$4,0))</f>
        <v>Disciplina 4</v>
      </c>
      <c r="E36" t="s">
        <v>11</v>
      </c>
      <c r="F36" t="s">
        <v>10</v>
      </c>
      <c r="G36" s="25" t="s">
        <v>43</v>
      </c>
      <c r="H36" s="25" t="s">
        <v>43</v>
      </c>
      <c r="I36" s="25" t="s">
        <v>43</v>
      </c>
      <c r="J36" s="25" t="s">
        <v>43</v>
      </c>
      <c r="K36" s="25" t="s">
        <v>43</v>
      </c>
      <c r="L36" s="25" t="s">
        <v>43</v>
      </c>
    </row>
    <row r="37" spans="1:12" x14ac:dyDescent="0.25">
      <c r="A37" s="25">
        <v>34</v>
      </c>
      <c r="B37" s="25">
        <v>34</v>
      </c>
      <c r="C37" s="25" t="str">
        <f>INDEX(cursoDisciplina!$A$4:$F$112,MATCH(disciplinaGrade!B37,cursoDisciplina!$A$4:$A$112,0),MATCH(cursoDisciplina!$C$4,cursoDisciplina!$A$4:$F$4,0))</f>
        <v>curso 3</v>
      </c>
      <c r="D37" t="str">
        <f>INDEX(cursoDisciplina!$A$4:$F$112,MATCH(disciplinaGrade!B37,cursoDisciplina!$A$4:$A$112,0),MATCH(cursoDisciplina!$E$4,cursoDisciplina!$A$4:$F$4,0))</f>
        <v>Disciplina 5</v>
      </c>
      <c r="E37" t="s">
        <v>11</v>
      </c>
      <c r="F37" t="s">
        <v>10</v>
      </c>
      <c r="G37" s="25" t="s">
        <v>43</v>
      </c>
      <c r="H37" s="25" t="s">
        <v>43</v>
      </c>
      <c r="I37" s="25" t="s">
        <v>43</v>
      </c>
      <c r="J37" s="25" t="s">
        <v>43</v>
      </c>
      <c r="K37" s="25" t="s">
        <v>43</v>
      </c>
      <c r="L37" s="25" t="s">
        <v>43</v>
      </c>
    </row>
    <row r="38" spans="1:12" x14ac:dyDescent="0.25">
      <c r="A38" s="25">
        <v>35</v>
      </c>
      <c r="B38" s="25">
        <v>35</v>
      </c>
      <c r="C38" s="25" t="str">
        <f>INDEX(cursoDisciplina!$A$4:$F$112,MATCH(disciplinaGrade!B38,cursoDisciplina!$A$4:$A$112,0),MATCH(cursoDisciplina!$C$4,cursoDisciplina!$A$4:$F$4,0))</f>
        <v>curso 3</v>
      </c>
      <c r="D38" t="str">
        <f>INDEX(cursoDisciplina!$A$4:$F$112,MATCH(disciplinaGrade!B38,cursoDisciplina!$A$4:$A$112,0),MATCH(cursoDisciplina!$E$4,cursoDisciplina!$A$4:$F$4,0))</f>
        <v>Disciplina 6</v>
      </c>
      <c r="E38" t="s">
        <v>11</v>
      </c>
      <c r="F38" t="s">
        <v>10</v>
      </c>
      <c r="G38" s="25" t="s">
        <v>43</v>
      </c>
      <c r="H38" s="25" t="s">
        <v>43</v>
      </c>
      <c r="I38" s="25" t="s">
        <v>43</v>
      </c>
      <c r="J38" s="25" t="s">
        <v>43</v>
      </c>
      <c r="K38" s="25" t="s">
        <v>43</v>
      </c>
      <c r="L38" s="25" t="s">
        <v>43</v>
      </c>
    </row>
    <row r="39" spans="1:12" x14ac:dyDescent="0.25">
      <c r="A39" s="25">
        <v>36</v>
      </c>
      <c r="B39" s="25">
        <v>36</v>
      </c>
      <c r="C39" s="25" t="str">
        <f>INDEX(cursoDisciplina!$A$4:$F$112,MATCH(disciplinaGrade!B39,cursoDisciplina!$A$4:$A$112,0),MATCH(cursoDisciplina!$C$4,cursoDisciplina!$A$4:$F$4,0))</f>
        <v>curso 3</v>
      </c>
      <c r="D39" t="str">
        <f>INDEX(cursoDisciplina!$A$4:$F$112,MATCH(disciplinaGrade!B39,cursoDisciplina!$A$4:$A$112,0),MATCH(cursoDisciplina!$E$4,cursoDisciplina!$A$4:$F$4,0))</f>
        <v>Disciplina 7</v>
      </c>
      <c r="E39" t="s">
        <v>11</v>
      </c>
      <c r="F39" t="s">
        <v>10</v>
      </c>
      <c r="G39" s="25" t="s">
        <v>43</v>
      </c>
      <c r="H39" s="25" t="s">
        <v>43</v>
      </c>
      <c r="I39" s="25" t="s">
        <v>43</v>
      </c>
      <c r="J39" s="25" t="s">
        <v>43</v>
      </c>
      <c r="K39" s="25" t="s">
        <v>43</v>
      </c>
      <c r="L39" s="25" t="s">
        <v>43</v>
      </c>
    </row>
    <row r="40" spans="1:12" x14ac:dyDescent="0.25">
      <c r="A40" s="25">
        <v>37</v>
      </c>
      <c r="B40" s="25">
        <v>37</v>
      </c>
      <c r="C40" s="25" t="str">
        <f>INDEX(cursoDisciplina!$A$4:$F$112,MATCH(disciplinaGrade!B40,cursoDisciplina!$A$4:$A$112,0),MATCH(cursoDisciplina!$C$4,cursoDisciplina!$A$4:$F$4,0))</f>
        <v>curso 3</v>
      </c>
      <c r="D40" t="str">
        <f>INDEX(cursoDisciplina!$A$4:$F$112,MATCH(disciplinaGrade!B40,cursoDisciplina!$A$4:$A$112,0),MATCH(cursoDisciplina!$E$4,cursoDisciplina!$A$4:$F$4,0))</f>
        <v>Disciplina 8</v>
      </c>
      <c r="E40" t="s">
        <v>11</v>
      </c>
      <c r="F40" t="s">
        <v>10</v>
      </c>
      <c r="G40" s="25" t="s">
        <v>43</v>
      </c>
      <c r="H40" s="25" t="s">
        <v>43</v>
      </c>
      <c r="I40" s="25" t="s">
        <v>43</v>
      </c>
      <c r="J40" s="25" t="s">
        <v>43</v>
      </c>
      <c r="K40" s="25" t="s">
        <v>43</v>
      </c>
      <c r="L40" s="25" t="s">
        <v>43</v>
      </c>
    </row>
    <row r="41" spans="1:12" x14ac:dyDescent="0.25">
      <c r="A41" s="25">
        <v>38</v>
      </c>
      <c r="B41" s="25">
        <v>38</v>
      </c>
      <c r="C41" s="25" t="str">
        <f>INDEX(cursoDisciplina!$A$4:$F$112,MATCH(disciplinaGrade!B41,cursoDisciplina!$A$4:$A$112,0),MATCH(cursoDisciplina!$C$4,cursoDisciplina!$A$4:$F$4,0))</f>
        <v>curso 3</v>
      </c>
      <c r="D41" t="str">
        <f>INDEX(cursoDisciplina!$A$4:$F$112,MATCH(disciplinaGrade!B41,cursoDisciplina!$A$4:$A$112,0),MATCH(cursoDisciplina!$E$4,cursoDisciplina!$A$4:$F$4,0))</f>
        <v>Disciplina 9</v>
      </c>
      <c r="E41" t="s">
        <v>11</v>
      </c>
      <c r="F41" t="s">
        <v>10</v>
      </c>
      <c r="G41" s="25" t="s">
        <v>43</v>
      </c>
      <c r="H41" s="25" t="s">
        <v>43</v>
      </c>
      <c r="I41" s="25" t="s">
        <v>43</v>
      </c>
      <c r="J41" s="25" t="s">
        <v>43</v>
      </c>
      <c r="K41" s="25" t="s">
        <v>43</v>
      </c>
      <c r="L41" s="25" t="s">
        <v>43</v>
      </c>
    </row>
    <row r="42" spans="1:12" x14ac:dyDescent="0.25">
      <c r="A42" s="25">
        <v>39</v>
      </c>
      <c r="B42" s="25">
        <v>39</v>
      </c>
      <c r="C42" s="25" t="str">
        <f>INDEX(cursoDisciplina!$A$4:$F$112,MATCH(disciplinaGrade!B42,cursoDisciplina!$A$4:$A$112,0),MATCH(cursoDisciplina!$C$4,cursoDisciplina!$A$4:$F$4,0))</f>
        <v>curso 3</v>
      </c>
      <c r="D42" t="str">
        <f>INDEX(cursoDisciplina!$A$4:$F$112,MATCH(disciplinaGrade!B42,cursoDisciplina!$A$4:$A$112,0),MATCH(cursoDisciplina!$E$4,cursoDisciplina!$A$4:$F$4,0))</f>
        <v>Disciplina 10</v>
      </c>
      <c r="E42" t="s">
        <v>11</v>
      </c>
      <c r="F42" t="s">
        <v>10</v>
      </c>
      <c r="G42" s="25" t="s">
        <v>43</v>
      </c>
      <c r="H42" s="25" t="s">
        <v>43</v>
      </c>
      <c r="I42" s="25" t="s">
        <v>43</v>
      </c>
      <c r="J42" s="25" t="s">
        <v>43</v>
      </c>
      <c r="K42" s="25" t="s">
        <v>43</v>
      </c>
      <c r="L42" s="25" t="s">
        <v>43</v>
      </c>
    </row>
    <row r="43" spans="1:12" x14ac:dyDescent="0.25">
      <c r="A43" s="25">
        <v>40</v>
      </c>
      <c r="B43" s="25">
        <v>40</v>
      </c>
      <c r="C43" s="25" t="str">
        <f>INDEX(cursoDisciplina!$A$4:$F$112,MATCH(disciplinaGrade!B43,cursoDisciplina!$A$4:$A$112,0),MATCH(cursoDisciplina!$C$4,cursoDisciplina!$A$4:$F$4,0))</f>
        <v>curso 3</v>
      </c>
      <c r="D43" t="str">
        <f>INDEX(cursoDisciplina!$A$4:$F$112,MATCH(disciplinaGrade!B43,cursoDisciplina!$A$4:$A$112,0),MATCH(cursoDisciplina!$E$4,cursoDisciplina!$A$4:$F$4,0))</f>
        <v>Disciplina 11</v>
      </c>
      <c r="E43" t="s">
        <v>11</v>
      </c>
      <c r="F43" t="s">
        <v>10</v>
      </c>
      <c r="G43" s="25" t="s">
        <v>43</v>
      </c>
      <c r="H43" s="25" t="s">
        <v>43</v>
      </c>
      <c r="I43" s="25" t="s">
        <v>43</v>
      </c>
      <c r="J43" s="25" t="s">
        <v>43</v>
      </c>
      <c r="K43" s="25" t="s">
        <v>43</v>
      </c>
      <c r="L43" s="25" t="s">
        <v>43</v>
      </c>
    </row>
    <row r="44" spans="1:12" x14ac:dyDescent="0.25">
      <c r="A44" s="25">
        <v>41</v>
      </c>
      <c r="B44" s="25">
        <v>41</v>
      </c>
      <c r="C44" s="25" t="str">
        <f>INDEX(cursoDisciplina!$A$4:$F$112,MATCH(disciplinaGrade!B44,cursoDisciplina!$A$4:$A$112,0),MATCH(cursoDisciplina!$C$4,cursoDisciplina!$A$4:$F$4,0))</f>
        <v>curso 3</v>
      </c>
      <c r="D44" t="str">
        <f>INDEX(cursoDisciplina!$A$4:$F$112,MATCH(disciplinaGrade!B44,cursoDisciplina!$A$4:$A$112,0),MATCH(cursoDisciplina!$E$4,cursoDisciplina!$A$4:$F$4,0))</f>
        <v>Disciplina 12</v>
      </c>
      <c r="E44" t="s">
        <v>11</v>
      </c>
      <c r="F44" t="s">
        <v>10</v>
      </c>
      <c r="G44" s="25" t="s">
        <v>43</v>
      </c>
      <c r="H44" s="25" t="s">
        <v>43</v>
      </c>
      <c r="I44" s="25" t="s">
        <v>43</v>
      </c>
      <c r="J44" s="25" t="s">
        <v>43</v>
      </c>
      <c r="K44" s="25" t="s">
        <v>43</v>
      </c>
      <c r="L44" s="25" t="s">
        <v>43</v>
      </c>
    </row>
    <row r="45" spans="1:12" x14ac:dyDescent="0.25">
      <c r="A45" s="25">
        <v>42</v>
      </c>
      <c r="B45" s="25">
        <v>42</v>
      </c>
      <c r="C45" s="25" t="str">
        <f>INDEX(cursoDisciplina!$A$4:$F$112,MATCH(disciplinaGrade!B45,cursoDisciplina!$A$4:$A$112,0),MATCH(cursoDisciplina!$C$4,cursoDisciplina!$A$4:$F$4,0))</f>
        <v>curso 3</v>
      </c>
      <c r="D45" t="str">
        <f>INDEX(cursoDisciplina!$A$4:$F$112,MATCH(disciplinaGrade!B45,cursoDisciplina!$A$4:$A$112,0),MATCH(cursoDisciplina!$E$4,cursoDisciplina!$A$4:$F$4,0))</f>
        <v>Disciplina 13</v>
      </c>
      <c r="E45" t="s">
        <v>11</v>
      </c>
      <c r="F45" t="s">
        <v>10</v>
      </c>
      <c r="G45" s="25" t="s">
        <v>43</v>
      </c>
      <c r="H45" s="25" t="s">
        <v>43</v>
      </c>
      <c r="I45" s="25" t="s">
        <v>43</v>
      </c>
      <c r="J45" s="25" t="s">
        <v>43</v>
      </c>
      <c r="K45" s="25" t="s">
        <v>43</v>
      </c>
      <c r="L45" s="25" t="s">
        <v>43</v>
      </c>
    </row>
    <row r="46" spans="1:12" x14ac:dyDescent="0.25">
      <c r="A46" s="25">
        <v>43</v>
      </c>
      <c r="B46" s="25">
        <v>43</v>
      </c>
      <c r="C46" s="25" t="str">
        <f>INDEX(cursoDisciplina!$A$4:$F$112,MATCH(disciplinaGrade!B46,cursoDisciplina!$A$4:$A$112,0),MATCH(cursoDisciplina!$C$4,cursoDisciplina!$A$4:$F$4,0))</f>
        <v>curso 3</v>
      </c>
      <c r="D46" t="str">
        <f>INDEX(cursoDisciplina!$A$4:$F$112,MATCH(disciplinaGrade!B46,cursoDisciplina!$A$4:$A$112,0),MATCH(cursoDisciplina!$E$4,cursoDisciplina!$A$4:$F$4,0))</f>
        <v>Disciplina 14</v>
      </c>
      <c r="E46" t="s">
        <v>11</v>
      </c>
      <c r="F46" t="s">
        <v>10</v>
      </c>
      <c r="G46" s="25" t="s">
        <v>43</v>
      </c>
      <c r="H46" s="25" t="s">
        <v>43</v>
      </c>
      <c r="I46" s="25" t="s">
        <v>43</v>
      </c>
      <c r="J46" s="25" t="s">
        <v>43</v>
      </c>
      <c r="K46" s="25" t="s">
        <v>43</v>
      </c>
      <c r="L46" s="25" t="s">
        <v>43</v>
      </c>
    </row>
    <row r="47" spans="1:12" x14ac:dyDescent="0.25">
      <c r="A47" s="25">
        <v>44</v>
      </c>
      <c r="B47" s="25">
        <v>44</v>
      </c>
      <c r="C47" s="25" t="str">
        <f>INDEX(cursoDisciplina!$A$4:$F$112,MATCH(disciplinaGrade!B47,cursoDisciplina!$A$4:$A$112,0),MATCH(cursoDisciplina!$C$4,cursoDisciplina!$A$4:$F$4,0))</f>
        <v>curso 3</v>
      </c>
      <c r="D47" t="str">
        <f>INDEX(cursoDisciplina!$A$4:$F$112,MATCH(disciplinaGrade!B47,cursoDisciplina!$A$4:$A$112,0),MATCH(cursoDisciplina!$E$4,cursoDisciplina!$A$4:$F$4,0))</f>
        <v>Disciplina 15</v>
      </c>
      <c r="E47" t="s">
        <v>11</v>
      </c>
      <c r="F47" t="s">
        <v>10</v>
      </c>
      <c r="G47" s="25" t="s">
        <v>43</v>
      </c>
      <c r="H47" s="25" t="s">
        <v>43</v>
      </c>
      <c r="I47" s="25" t="s">
        <v>43</v>
      </c>
      <c r="J47" s="25" t="s">
        <v>43</v>
      </c>
      <c r="K47" s="25" t="s">
        <v>43</v>
      </c>
      <c r="L47" s="25" t="s">
        <v>43</v>
      </c>
    </row>
    <row r="48" spans="1:12" x14ac:dyDescent="0.25">
      <c r="A48" s="25">
        <v>45</v>
      </c>
      <c r="B48" s="25">
        <v>45</v>
      </c>
      <c r="C48" s="25" t="str">
        <f>INDEX(cursoDisciplina!$A$4:$F$112,MATCH(disciplinaGrade!B48,cursoDisciplina!$A$4:$A$112,0),MATCH(cursoDisciplina!$C$4,cursoDisciplina!$A$4:$F$4,0))</f>
        <v>curso 3</v>
      </c>
      <c r="D48" t="str">
        <f>INDEX(cursoDisciplina!$A$4:$F$112,MATCH(disciplinaGrade!B48,cursoDisciplina!$A$4:$A$112,0),MATCH(cursoDisciplina!$E$4,cursoDisciplina!$A$4:$F$4,0))</f>
        <v>Disciplina 16</v>
      </c>
      <c r="E48" t="s">
        <v>11</v>
      </c>
      <c r="F48" t="s">
        <v>10</v>
      </c>
      <c r="G48" s="25" t="s">
        <v>43</v>
      </c>
      <c r="H48" s="25" t="s">
        <v>43</v>
      </c>
      <c r="I48" s="25" t="s">
        <v>43</v>
      </c>
      <c r="J48" s="25" t="s">
        <v>43</v>
      </c>
      <c r="K48" s="25" t="s">
        <v>43</v>
      </c>
      <c r="L48" s="25" t="s">
        <v>43</v>
      </c>
    </row>
    <row r="49" spans="1:12" x14ac:dyDescent="0.25">
      <c r="A49" s="25">
        <v>46</v>
      </c>
      <c r="B49" s="25">
        <v>46</v>
      </c>
      <c r="C49" s="25" t="str">
        <f>INDEX(cursoDisciplina!$A$4:$F$112,MATCH(disciplinaGrade!B49,cursoDisciplina!$A$4:$A$112,0),MATCH(cursoDisciplina!$C$4,cursoDisciplina!$A$4:$F$4,0))</f>
        <v>curso 3</v>
      </c>
      <c r="D49" t="str">
        <f>INDEX(cursoDisciplina!$A$4:$F$112,MATCH(disciplinaGrade!B49,cursoDisciplina!$A$4:$A$112,0),MATCH(cursoDisciplina!$E$4,cursoDisciplina!$A$4:$F$4,0))</f>
        <v>Disciplina 17</v>
      </c>
      <c r="E49" t="s">
        <v>11</v>
      </c>
      <c r="F49" t="s">
        <v>10</v>
      </c>
      <c r="G49" s="25" t="s">
        <v>43</v>
      </c>
      <c r="H49" s="25" t="s">
        <v>43</v>
      </c>
      <c r="I49" s="25" t="s">
        <v>43</v>
      </c>
      <c r="J49" s="25" t="s">
        <v>43</v>
      </c>
      <c r="K49" s="25" t="s">
        <v>43</v>
      </c>
      <c r="L49" s="25" t="s">
        <v>43</v>
      </c>
    </row>
    <row r="50" spans="1:12" x14ac:dyDescent="0.25">
      <c r="A50" s="25">
        <v>47</v>
      </c>
      <c r="B50" s="25">
        <v>47</v>
      </c>
      <c r="C50" s="25" t="str">
        <f>INDEX(cursoDisciplina!$A$4:$F$112,MATCH(disciplinaGrade!B50,cursoDisciplina!$A$4:$A$112,0),MATCH(cursoDisciplina!$C$4,cursoDisciplina!$A$4:$F$4,0))</f>
        <v>curso 3</v>
      </c>
      <c r="D50" t="str">
        <f>INDEX(cursoDisciplina!$A$4:$F$112,MATCH(disciplinaGrade!B50,cursoDisciplina!$A$4:$A$112,0),MATCH(cursoDisciplina!$E$4,cursoDisciplina!$A$4:$F$4,0))</f>
        <v>Disciplina 18</v>
      </c>
      <c r="E50" t="s">
        <v>11</v>
      </c>
      <c r="F50" t="s">
        <v>10</v>
      </c>
      <c r="G50" s="25" t="s">
        <v>43</v>
      </c>
      <c r="H50" s="25" t="s">
        <v>43</v>
      </c>
      <c r="I50" s="25" t="s">
        <v>43</v>
      </c>
      <c r="J50" s="25" t="s">
        <v>43</v>
      </c>
      <c r="K50" s="25" t="s">
        <v>43</v>
      </c>
      <c r="L50" s="25" t="s">
        <v>43</v>
      </c>
    </row>
    <row r="51" spans="1:12" x14ac:dyDescent="0.25">
      <c r="A51" s="25">
        <v>48</v>
      </c>
      <c r="B51" s="25">
        <v>48</v>
      </c>
      <c r="C51" s="25" t="str">
        <f>INDEX(cursoDisciplina!$A$4:$F$112,MATCH(disciplinaGrade!B51,cursoDisciplina!$A$4:$A$112,0),MATCH(cursoDisciplina!$C$4,cursoDisciplina!$A$4:$F$4,0))</f>
        <v>curso 3</v>
      </c>
      <c r="D51" t="str">
        <f>INDEX(cursoDisciplina!$A$4:$F$112,MATCH(disciplinaGrade!B51,cursoDisciplina!$A$4:$A$112,0),MATCH(cursoDisciplina!$E$4,cursoDisciplina!$A$4:$F$4,0))</f>
        <v>Disciplina 19</v>
      </c>
      <c r="E51" t="s">
        <v>11</v>
      </c>
      <c r="F51" t="s">
        <v>10</v>
      </c>
      <c r="G51" s="25" t="s">
        <v>43</v>
      </c>
      <c r="H51" s="25" t="s">
        <v>43</v>
      </c>
      <c r="I51" s="25" t="s">
        <v>43</v>
      </c>
      <c r="J51" s="25" t="s">
        <v>43</v>
      </c>
      <c r="K51" s="25" t="s">
        <v>43</v>
      </c>
      <c r="L51" s="25" t="s">
        <v>43</v>
      </c>
    </row>
    <row r="52" spans="1:12" x14ac:dyDescent="0.25">
      <c r="A52" s="25">
        <v>49</v>
      </c>
      <c r="B52" s="25">
        <v>49</v>
      </c>
      <c r="C52" s="25" t="str">
        <f>INDEX(cursoDisciplina!$A$4:$F$112,MATCH(disciplinaGrade!B52,cursoDisciplina!$A$4:$A$112,0),MATCH(cursoDisciplina!$C$4,cursoDisciplina!$A$4:$F$4,0))</f>
        <v>curso 3</v>
      </c>
      <c r="D52" t="str">
        <f>INDEX(cursoDisciplina!$A$4:$F$112,MATCH(disciplinaGrade!B52,cursoDisciplina!$A$4:$A$112,0),MATCH(cursoDisciplina!$E$4,cursoDisciplina!$A$4:$F$4,0))</f>
        <v>Disciplina 20</v>
      </c>
      <c r="E52" t="s">
        <v>11</v>
      </c>
      <c r="F52" t="s">
        <v>10</v>
      </c>
      <c r="G52" s="25" t="s">
        <v>43</v>
      </c>
      <c r="H52" s="25" t="s">
        <v>43</v>
      </c>
      <c r="I52" s="25" t="s">
        <v>43</v>
      </c>
      <c r="J52" s="25" t="s">
        <v>43</v>
      </c>
      <c r="K52" s="25" t="s">
        <v>43</v>
      </c>
      <c r="L52" s="25" t="s">
        <v>43</v>
      </c>
    </row>
    <row r="53" spans="1:12" x14ac:dyDescent="0.25">
      <c r="A53" s="25">
        <v>50</v>
      </c>
      <c r="B53" s="25">
        <v>50</v>
      </c>
      <c r="C53" s="25" t="str">
        <f>INDEX(cursoDisciplina!$A$4:$F$112,MATCH(disciplinaGrade!B53,cursoDisciplina!$A$4:$A$112,0),MATCH(cursoDisciplina!$C$4,cursoDisciplina!$A$4:$F$4,0))</f>
        <v>curso 3</v>
      </c>
      <c r="D53" t="str">
        <f>INDEX(cursoDisciplina!$A$4:$F$112,MATCH(disciplinaGrade!B53,cursoDisciplina!$A$4:$A$112,0),MATCH(cursoDisciplina!$E$4,cursoDisciplina!$A$4:$F$4,0))</f>
        <v>Disciplina 21</v>
      </c>
      <c r="E53" t="s">
        <v>11</v>
      </c>
      <c r="F53" t="s">
        <v>10</v>
      </c>
      <c r="G53" s="25" t="s">
        <v>43</v>
      </c>
      <c r="H53" s="25" t="s">
        <v>43</v>
      </c>
      <c r="I53" s="25" t="s">
        <v>43</v>
      </c>
      <c r="J53" s="25" t="s">
        <v>43</v>
      </c>
      <c r="K53" s="25" t="s">
        <v>43</v>
      </c>
      <c r="L53" s="25" t="s">
        <v>43</v>
      </c>
    </row>
    <row r="54" spans="1:12" x14ac:dyDescent="0.25">
      <c r="A54" s="25">
        <v>51</v>
      </c>
      <c r="B54" s="25">
        <v>51</v>
      </c>
      <c r="C54" s="25" t="str">
        <f>INDEX(cursoDisciplina!$A$4:$F$112,MATCH(disciplinaGrade!B54,cursoDisciplina!$A$4:$A$112,0),MATCH(cursoDisciplina!$C$4,cursoDisciplina!$A$4:$F$4,0))</f>
        <v>curso 3</v>
      </c>
      <c r="D54" t="str">
        <f>INDEX(cursoDisciplina!$A$4:$F$112,MATCH(disciplinaGrade!B54,cursoDisciplina!$A$4:$A$112,0),MATCH(cursoDisciplina!$E$4,cursoDisciplina!$A$4:$F$4,0))</f>
        <v>Disciplina 22</v>
      </c>
      <c r="E54" t="s">
        <v>11</v>
      </c>
      <c r="F54" t="s">
        <v>10</v>
      </c>
      <c r="G54" s="25" t="s">
        <v>43</v>
      </c>
      <c r="H54" s="25" t="s">
        <v>43</v>
      </c>
      <c r="I54" s="25" t="s">
        <v>43</v>
      </c>
      <c r="J54" s="25" t="s">
        <v>43</v>
      </c>
      <c r="K54" s="25" t="s">
        <v>43</v>
      </c>
      <c r="L54" s="25" t="s">
        <v>43</v>
      </c>
    </row>
    <row r="55" spans="1:12" x14ac:dyDescent="0.25">
      <c r="A55" s="25">
        <v>52</v>
      </c>
      <c r="B55" s="25">
        <v>52</v>
      </c>
      <c r="C55" s="25" t="str">
        <f>INDEX(cursoDisciplina!$A$4:$F$112,MATCH(disciplinaGrade!B55,cursoDisciplina!$A$4:$A$112,0),MATCH(cursoDisciplina!$C$4,cursoDisciplina!$A$4:$F$4,0))</f>
        <v>curso 3</v>
      </c>
      <c r="D55" t="str">
        <f>INDEX(cursoDisciplina!$A$4:$F$112,MATCH(disciplinaGrade!B55,cursoDisciplina!$A$4:$A$112,0),MATCH(cursoDisciplina!$E$4,cursoDisciplina!$A$4:$F$4,0))</f>
        <v>Disciplina 23</v>
      </c>
      <c r="E55" t="s">
        <v>11</v>
      </c>
      <c r="F55" t="s">
        <v>10</v>
      </c>
      <c r="G55" s="25" t="s">
        <v>43</v>
      </c>
      <c r="H55" s="25" t="s">
        <v>43</v>
      </c>
      <c r="I55" s="25" t="s">
        <v>43</v>
      </c>
      <c r="J55" s="25" t="s">
        <v>43</v>
      </c>
      <c r="K55" s="25" t="s">
        <v>43</v>
      </c>
      <c r="L55" s="25" t="s">
        <v>43</v>
      </c>
    </row>
    <row r="56" spans="1:12" x14ac:dyDescent="0.25">
      <c r="A56" s="25">
        <v>53</v>
      </c>
      <c r="B56" s="25">
        <v>53</v>
      </c>
      <c r="C56" s="25" t="str">
        <f>INDEX(cursoDisciplina!$A$4:$F$112,MATCH(disciplinaGrade!B56,cursoDisciplina!$A$4:$A$112,0),MATCH(cursoDisciplina!$C$4,cursoDisciplina!$A$4:$F$4,0))</f>
        <v>curso 3</v>
      </c>
      <c r="D56" t="str">
        <f>INDEX(cursoDisciplina!$A$4:$F$112,MATCH(disciplinaGrade!B56,cursoDisciplina!$A$4:$A$112,0),MATCH(cursoDisciplina!$E$4,cursoDisciplina!$A$4:$F$4,0))</f>
        <v>Disciplina 24</v>
      </c>
      <c r="E56" t="s">
        <v>11</v>
      </c>
      <c r="F56" t="s">
        <v>10</v>
      </c>
      <c r="G56" s="25" t="s">
        <v>43</v>
      </c>
      <c r="H56" s="25" t="s">
        <v>43</v>
      </c>
      <c r="I56" s="25" t="s">
        <v>43</v>
      </c>
      <c r="J56" s="25" t="s">
        <v>43</v>
      </c>
      <c r="K56" s="25" t="s">
        <v>43</v>
      </c>
      <c r="L56" s="25" t="s">
        <v>43</v>
      </c>
    </row>
    <row r="57" spans="1:12" x14ac:dyDescent="0.25">
      <c r="A57" s="25">
        <v>54</v>
      </c>
      <c r="B57" s="25">
        <v>54</v>
      </c>
      <c r="C57" s="25" t="str">
        <f>INDEX(cursoDisciplina!$A$4:$F$112,MATCH(disciplinaGrade!B57,cursoDisciplina!$A$4:$A$112,0),MATCH(cursoDisciplina!$C$4,cursoDisciplina!$A$4:$F$4,0))</f>
        <v>curso 3</v>
      </c>
      <c r="D57" t="str">
        <f>INDEX(cursoDisciplina!$A$4:$F$112,MATCH(disciplinaGrade!B57,cursoDisciplina!$A$4:$A$112,0),MATCH(cursoDisciplina!$E$4,cursoDisciplina!$A$4:$F$4,0))</f>
        <v>Disciplina 25</v>
      </c>
      <c r="E57" t="s">
        <v>11</v>
      </c>
      <c r="F57" t="s">
        <v>10</v>
      </c>
      <c r="G57" s="25" t="s">
        <v>43</v>
      </c>
      <c r="H57" s="25" t="s">
        <v>43</v>
      </c>
      <c r="I57" s="25" t="s">
        <v>43</v>
      </c>
      <c r="J57" s="25" t="s">
        <v>43</v>
      </c>
      <c r="K57" s="25" t="s">
        <v>43</v>
      </c>
      <c r="L57" s="25" t="s">
        <v>43</v>
      </c>
    </row>
    <row r="58" spans="1:12" x14ac:dyDescent="0.25">
      <c r="A58" s="25">
        <v>55</v>
      </c>
      <c r="B58" s="25">
        <v>55</v>
      </c>
      <c r="C58" s="25" t="str">
        <f>INDEX(cursoDisciplina!$A$4:$F$112,MATCH(disciplinaGrade!B58,cursoDisciplina!$A$4:$A$112,0),MATCH(cursoDisciplina!$C$4,cursoDisciplina!$A$4:$F$4,0))</f>
        <v>curso 4</v>
      </c>
      <c r="D58" t="str">
        <f>INDEX(cursoDisciplina!$A$4:$F$112,MATCH(disciplinaGrade!B58,cursoDisciplina!$A$4:$A$112,0),MATCH(cursoDisciplina!$E$4,cursoDisciplina!$A$4:$F$4,0))</f>
        <v>laboratóeio de engenharia de Software</v>
      </c>
      <c r="E58" t="s">
        <v>11</v>
      </c>
      <c r="F58" t="s">
        <v>10</v>
      </c>
      <c r="G58" s="25" t="s">
        <v>43</v>
      </c>
      <c r="H58" s="25" t="s">
        <v>43</v>
      </c>
      <c r="I58" s="25" t="s">
        <v>43</v>
      </c>
      <c r="J58" s="25" t="s">
        <v>43</v>
      </c>
      <c r="K58" s="25" t="s">
        <v>43</v>
      </c>
      <c r="L58" s="25" t="s">
        <v>43</v>
      </c>
    </row>
    <row r="59" spans="1:12" x14ac:dyDescent="0.25">
      <c r="A59" s="25">
        <v>56</v>
      </c>
      <c r="B59" s="25">
        <v>56</v>
      </c>
      <c r="C59" s="25" t="str">
        <f>INDEX(cursoDisciplina!$A$4:$F$112,MATCH(disciplinaGrade!B59,cursoDisciplina!$A$4:$A$112,0),MATCH(cursoDisciplina!$C$4,cursoDisciplina!$A$4:$F$4,0))</f>
        <v>curso 4</v>
      </c>
      <c r="D59" t="str">
        <f>INDEX(cursoDisciplina!$A$4:$F$112,MATCH(disciplinaGrade!B59,cursoDisciplina!$A$4:$A$112,0),MATCH(cursoDisciplina!$E$4,cursoDisciplina!$A$4:$F$4,0))</f>
        <v>Estrutura de Dados</v>
      </c>
      <c r="E59" t="s">
        <v>11</v>
      </c>
      <c r="F59" t="s">
        <v>10</v>
      </c>
      <c r="G59" s="25" t="s">
        <v>43</v>
      </c>
      <c r="H59" s="25" t="s">
        <v>43</v>
      </c>
      <c r="I59" s="25" t="s">
        <v>43</v>
      </c>
      <c r="J59" s="25" t="s">
        <v>43</v>
      </c>
      <c r="K59" s="25" t="s">
        <v>43</v>
      </c>
      <c r="L59" s="25" t="s">
        <v>43</v>
      </c>
    </row>
    <row r="60" spans="1:12" x14ac:dyDescent="0.25">
      <c r="A60" s="25">
        <v>57</v>
      </c>
      <c r="B60" s="25">
        <v>57</v>
      </c>
      <c r="C60" s="25" t="str">
        <f>INDEX(cursoDisciplina!$A$4:$F$112,MATCH(disciplinaGrade!B60,cursoDisciplina!$A$4:$A$112,0),MATCH(cursoDisciplina!$C$4,cursoDisciplina!$A$4:$F$4,0))</f>
        <v>curso 4</v>
      </c>
      <c r="D60" t="str">
        <f>INDEX(cursoDisciplina!$A$4:$F$112,MATCH(disciplinaGrade!B60,cursoDisciplina!$A$4:$A$112,0),MATCH(cursoDisciplina!$E$4,cursoDisciplina!$A$4:$F$4,0))</f>
        <v>PEM</v>
      </c>
      <c r="E60" t="s">
        <v>11</v>
      </c>
      <c r="F60" t="s">
        <v>10</v>
      </c>
      <c r="G60" s="25" t="s">
        <v>43</v>
      </c>
      <c r="H60" s="25" t="s">
        <v>43</v>
      </c>
      <c r="I60" s="25" t="s">
        <v>43</v>
      </c>
      <c r="J60" s="25" t="s">
        <v>43</v>
      </c>
      <c r="K60" s="25" t="s">
        <v>43</v>
      </c>
      <c r="L60" s="25" t="s">
        <v>43</v>
      </c>
    </row>
    <row r="61" spans="1:12" x14ac:dyDescent="0.25">
      <c r="A61" s="25">
        <v>58</v>
      </c>
      <c r="B61" s="25">
        <v>58</v>
      </c>
      <c r="C61" s="25" t="str">
        <f>INDEX(cursoDisciplina!$A$4:$F$112,MATCH(disciplinaGrade!B61,cursoDisciplina!$A$4:$A$112,0),MATCH(cursoDisciplina!$C$4,cursoDisciplina!$A$4:$F$4,0))</f>
        <v>curso 4</v>
      </c>
      <c r="D61" t="str">
        <f>INDEX(cursoDisciplina!$A$4:$F$112,MATCH(disciplinaGrade!B61,cursoDisciplina!$A$4:$A$112,0),MATCH(cursoDisciplina!$E$4,cursoDisciplina!$A$4:$F$4,0))</f>
        <v>Disciplina 4</v>
      </c>
      <c r="E61" t="s">
        <v>11</v>
      </c>
      <c r="F61" t="s">
        <v>10</v>
      </c>
      <c r="G61" s="25" t="s">
        <v>43</v>
      </c>
      <c r="H61" s="25" t="s">
        <v>43</v>
      </c>
      <c r="I61" s="25" t="s">
        <v>43</v>
      </c>
      <c r="J61" s="25" t="s">
        <v>43</v>
      </c>
      <c r="K61" s="25" t="s">
        <v>43</v>
      </c>
      <c r="L61" s="25" t="s">
        <v>43</v>
      </c>
    </row>
    <row r="62" spans="1:12" x14ac:dyDescent="0.25">
      <c r="A62" s="25">
        <v>59</v>
      </c>
      <c r="B62" s="25">
        <v>59</v>
      </c>
      <c r="C62" s="25" t="str">
        <f>INDEX(cursoDisciplina!$A$4:$F$112,MATCH(disciplinaGrade!B62,cursoDisciplina!$A$4:$A$112,0),MATCH(cursoDisciplina!$C$4,cursoDisciplina!$A$4:$F$4,0))</f>
        <v>curso 4</v>
      </c>
      <c r="D62" t="str">
        <f>INDEX(cursoDisciplina!$A$4:$F$112,MATCH(disciplinaGrade!B62,cursoDisciplina!$A$4:$A$112,0),MATCH(cursoDisciplina!$E$4,cursoDisciplina!$A$4:$F$4,0))</f>
        <v>Disciplina 5</v>
      </c>
      <c r="E62" t="s">
        <v>11</v>
      </c>
      <c r="F62" t="s">
        <v>10</v>
      </c>
      <c r="G62" s="25" t="s">
        <v>43</v>
      </c>
      <c r="H62" s="25" t="s">
        <v>43</v>
      </c>
      <c r="I62" s="25" t="s">
        <v>43</v>
      </c>
      <c r="J62" s="25" t="s">
        <v>43</v>
      </c>
      <c r="K62" s="25" t="s">
        <v>43</v>
      </c>
      <c r="L62" s="25" t="s">
        <v>43</v>
      </c>
    </row>
    <row r="63" spans="1:12" x14ac:dyDescent="0.25">
      <c r="A63" s="25">
        <v>60</v>
      </c>
      <c r="B63" s="25">
        <v>60</v>
      </c>
      <c r="C63" s="25" t="str">
        <f>INDEX(cursoDisciplina!$A$4:$F$112,MATCH(disciplinaGrade!B63,cursoDisciplina!$A$4:$A$112,0),MATCH(cursoDisciplina!$C$4,cursoDisciplina!$A$4:$F$4,0))</f>
        <v>curso 4</v>
      </c>
      <c r="D63" t="str">
        <f>INDEX(cursoDisciplina!$A$4:$F$112,MATCH(disciplinaGrade!B63,cursoDisciplina!$A$4:$A$112,0),MATCH(cursoDisciplina!$E$4,cursoDisciplina!$A$4:$F$4,0))</f>
        <v>Disciplina 6</v>
      </c>
      <c r="E63" t="s">
        <v>11</v>
      </c>
      <c r="F63" t="s">
        <v>10</v>
      </c>
      <c r="G63" s="25" t="s">
        <v>43</v>
      </c>
      <c r="H63" s="25" t="s">
        <v>43</v>
      </c>
      <c r="I63" s="25" t="s">
        <v>43</v>
      </c>
      <c r="J63" s="25" t="s">
        <v>43</v>
      </c>
      <c r="K63" s="25" t="s">
        <v>43</v>
      </c>
      <c r="L63" s="25" t="s">
        <v>43</v>
      </c>
    </row>
    <row r="64" spans="1:12" x14ac:dyDescent="0.25">
      <c r="A64" s="25">
        <v>61</v>
      </c>
      <c r="B64" s="25">
        <v>61</v>
      </c>
      <c r="C64" s="25" t="str">
        <f>INDEX(cursoDisciplina!$A$4:$F$112,MATCH(disciplinaGrade!B64,cursoDisciplina!$A$4:$A$112,0),MATCH(cursoDisciplina!$C$4,cursoDisciplina!$A$4:$F$4,0))</f>
        <v>curso 4</v>
      </c>
      <c r="D64" t="str">
        <f>INDEX(cursoDisciplina!$A$4:$F$112,MATCH(disciplinaGrade!B64,cursoDisciplina!$A$4:$A$112,0),MATCH(cursoDisciplina!$E$4,cursoDisciplina!$A$4:$F$4,0))</f>
        <v>Disciplina 7</v>
      </c>
      <c r="E64" t="s">
        <v>11</v>
      </c>
      <c r="F64" t="s">
        <v>10</v>
      </c>
      <c r="G64" s="25" t="s">
        <v>43</v>
      </c>
      <c r="H64" s="25" t="s">
        <v>43</v>
      </c>
      <c r="I64" s="25" t="s">
        <v>43</v>
      </c>
      <c r="J64" s="25" t="s">
        <v>43</v>
      </c>
      <c r="K64" s="25" t="s">
        <v>43</v>
      </c>
      <c r="L64" s="25" t="s">
        <v>43</v>
      </c>
    </row>
    <row r="65" spans="1:12" x14ac:dyDescent="0.25">
      <c r="A65" s="25">
        <v>62</v>
      </c>
      <c r="B65" s="25">
        <v>62</v>
      </c>
      <c r="C65" s="25" t="str">
        <f>INDEX(cursoDisciplina!$A$4:$F$112,MATCH(disciplinaGrade!B65,cursoDisciplina!$A$4:$A$112,0),MATCH(cursoDisciplina!$C$4,cursoDisciplina!$A$4:$F$4,0))</f>
        <v>curso 4</v>
      </c>
      <c r="D65" t="str">
        <f>INDEX(cursoDisciplina!$A$4:$F$112,MATCH(disciplinaGrade!B65,cursoDisciplina!$A$4:$A$112,0),MATCH(cursoDisciplina!$E$4,cursoDisciplina!$A$4:$F$4,0))</f>
        <v>Disciplina 8</v>
      </c>
      <c r="E65" t="s">
        <v>11</v>
      </c>
      <c r="F65" t="s">
        <v>10</v>
      </c>
      <c r="G65" s="25" t="s">
        <v>43</v>
      </c>
      <c r="H65" s="25" t="s">
        <v>43</v>
      </c>
      <c r="I65" s="25" t="s">
        <v>43</v>
      </c>
      <c r="J65" s="25" t="s">
        <v>43</v>
      </c>
      <c r="K65" s="25" t="s">
        <v>43</v>
      </c>
      <c r="L65" s="25" t="s">
        <v>43</v>
      </c>
    </row>
    <row r="66" spans="1:12" x14ac:dyDescent="0.25">
      <c r="A66" s="25">
        <v>63</v>
      </c>
      <c r="B66" s="25">
        <v>63</v>
      </c>
      <c r="C66" s="25" t="str">
        <f>INDEX(cursoDisciplina!$A$4:$F$112,MATCH(disciplinaGrade!B66,cursoDisciplina!$A$4:$A$112,0),MATCH(cursoDisciplina!$C$4,cursoDisciplina!$A$4:$F$4,0))</f>
        <v>curso 4</v>
      </c>
      <c r="D66" t="str">
        <f>INDEX(cursoDisciplina!$A$4:$F$112,MATCH(disciplinaGrade!B66,cursoDisciplina!$A$4:$A$112,0),MATCH(cursoDisciplina!$E$4,cursoDisciplina!$A$4:$F$4,0))</f>
        <v>Disciplina 9</v>
      </c>
      <c r="E66" t="s">
        <v>11</v>
      </c>
      <c r="F66" t="s">
        <v>10</v>
      </c>
      <c r="G66" s="25" t="s">
        <v>43</v>
      </c>
      <c r="H66" s="25" t="s">
        <v>43</v>
      </c>
      <c r="I66" s="25" t="s">
        <v>43</v>
      </c>
      <c r="J66" s="25" t="s">
        <v>43</v>
      </c>
      <c r="K66" s="25" t="s">
        <v>43</v>
      </c>
      <c r="L66" s="25" t="s">
        <v>43</v>
      </c>
    </row>
    <row r="67" spans="1:12" x14ac:dyDescent="0.25">
      <c r="A67" s="25">
        <v>64</v>
      </c>
      <c r="B67" s="25">
        <v>64</v>
      </c>
      <c r="C67" s="25" t="str">
        <f>INDEX(cursoDisciplina!$A$4:$F$112,MATCH(disciplinaGrade!B67,cursoDisciplina!$A$4:$A$112,0),MATCH(cursoDisciplina!$C$4,cursoDisciplina!$A$4:$F$4,0))</f>
        <v>curso 4</v>
      </c>
      <c r="D67" t="str">
        <f>INDEX(cursoDisciplina!$A$4:$F$112,MATCH(disciplinaGrade!B67,cursoDisciplina!$A$4:$A$112,0),MATCH(cursoDisciplina!$E$4,cursoDisciplina!$A$4:$F$4,0))</f>
        <v>Disciplina 10</v>
      </c>
      <c r="E67" t="s">
        <v>11</v>
      </c>
      <c r="F67" t="s">
        <v>10</v>
      </c>
      <c r="G67" s="25" t="s">
        <v>43</v>
      </c>
      <c r="H67" s="25" t="s">
        <v>43</v>
      </c>
      <c r="I67" s="25" t="s">
        <v>43</v>
      </c>
      <c r="J67" s="25" t="s">
        <v>43</v>
      </c>
      <c r="K67" s="25" t="s">
        <v>43</v>
      </c>
      <c r="L67" s="25" t="s">
        <v>43</v>
      </c>
    </row>
    <row r="68" spans="1:12" x14ac:dyDescent="0.25">
      <c r="A68" s="25">
        <v>65</v>
      </c>
      <c r="B68" s="25">
        <v>65</v>
      </c>
      <c r="C68" s="25" t="str">
        <f>INDEX(cursoDisciplina!$A$4:$F$112,MATCH(disciplinaGrade!B68,cursoDisciplina!$A$4:$A$112,0),MATCH(cursoDisciplina!$C$4,cursoDisciplina!$A$4:$F$4,0))</f>
        <v>curso 4</v>
      </c>
      <c r="D68" t="str">
        <f>INDEX(cursoDisciplina!$A$4:$F$112,MATCH(disciplinaGrade!B68,cursoDisciplina!$A$4:$A$112,0),MATCH(cursoDisciplina!$E$4,cursoDisciplina!$A$4:$F$4,0))</f>
        <v>Disciplina 11</v>
      </c>
      <c r="E68" t="s">
        <v>11</v>
      </c>
      <c r="F68" t="s">
        <v>10</v>
      </c>
      <c r="G68" s="25" t="s">
        <v>43</v>
      </c>
      <c r="H68" s="25" t="s">
        <v>43</v>
      </c>
      <c r="I68" s="25" t="s">
        <v>43</v>
      </c>
      <c r="J68" s="25" t="s">
        <v>43</v>
      </c>
      <c r="K68" s="25" t="s">
        <v>43</v>
      </c>
      <c r="L68" s="25" t="s">
        <v>43</v>
      </c>
    </row>
    <row r="69" spans="1:12" x14ac:dyDescent="0.25">
      <c r="A69" s="25">
        <v>66</v>
      </c>
      <c r="B69" s="25">
        <v>66</v>
      </c>
      <c r="C69" s="25" t="str">
        <f>INDEX(cursoDisciplina!$A$4:$F$112,MATCH(disciplinaGrade!B69,cursoDisciplina!$A$4:$A$112,0),MATCH(cursoDisciplina!$C$4,cursoDisciplina!$A$4:$F$4,0))</f>
        <v>curso 4</v>
      </c>
      <c r="D69" t="str">
        <f>INDEX(cursoDisciplina!$A$4:$F$112,MATCH(disciplinaGrade!B69,cursoDisciplina!$A$4:$A$112,0),MATCH(cursoDisciplina!$E$4,cursoDisciplina!$A$4:$F$4,0))</f>
        <v>Disciplina 12</v>
      </c>
      <c r="E69" t="s">
        <v>11</v>
      </c>
      <c r="F69" t="s">
        <v>10</v>
      </c>
      <c r="G69" s="25" t="s">
        <v>43</v>
      </c>
      <c r="H69" s="25" t="s">
        <v>43</v>
      </c>
      <c r="I69" s="25" t="s">
        <v>43</v>
      </c>
      <c r="J69" s="25" t="s">
        <v>43</v>
      </c>
      <c r="K69" s="25" t="s">
        <v>43</v>
      </c>
      <c r="L69" s="25" t="s">
        <v>43</v>
      </c>
    </row>
    <row r="70" spans="1:12" x14ac:dyDescent="0.25">
      <c r="A70" s="25">
        <v>67</v>
      </c>
      <c r="B70" s="25">
        <v>67</v>
      </c>
      <c r="C70" s="25" t="str">
        <f>INDEX(cursoDisciplina!$A$4:$F$112,MATCH(disciplinaGrade!B70,cursoDisciplina!$A$4:$A$112,0),MATCH(cursoDisciplina!$C$4,cursoDisciplina!$A$4:$F$4,0))</f>
        <v>curso 4</v>
      </c>
      <c r="D70" t="str">
        <f>INDEX(cursoDisciplina!$A$4:$F$112,MATCH(disciplinaGrade!B70,cursoDisciplina!$A$4:$A$112,0),MATCH(cursoDisciplina!$E$4,cursoDisciplina!$A$4:$F$4,0))</f>
        <v>Disciplina 13</v>
      </c>
      <c r="E70" t="s">
        <v>11</v>
      </c>
      <c r="F70" t="s">
        <v>10</v>
      </c>
      <c r="G70" s="25" t="s">
        <v>43</v>
      </c>
      <c r="H70" s="25" t="s">
        <v>43</v>
      </c>
      <c r="I70" s="25" t="s">
        <v>43</v>
      </c>
      <c r="J70" s="25" t="s">
        <v>43</v>
      </c>
      <c r="K70" s="25" t="s">
        <v>43</v>
      </c>
      <c r="L70" s="25" t="s">
        <v>43</v>
      </c>
    </row>
    <row r="71" spans="1:12" x14ac:dyDescent="0.25">
      <c r="A71" s="25">
        <v>68</v>
      </c>
      <c r="B71" s="25">
        <v>68</v>
      </c>
      <c r="C71" s="25" t="str">
        <f>INDEX(cursoDisciplina!$A$4:$F$112,MATCH(disciplinaGrade!B71,cursoDisciplina!$A$4:$A$112,0),MATCH(cursoDisciplina!$C$4,cursoDisciplina!$A$4:$F$4,0))</f>
        <v>curso 4</v>
      </c>
      <c r="D71" t="str">
        <f>INDEX(cursoDisciplina!$A$4:$F$112,MATCH(disciplinaGrade!B71,cursoDisciplina!$A$4:$A$112,0),MATCH(cursoDisciplina!$E$4,cursoDisciplina!$A$4:$F$4,0))</f>
        <v>Disciplina 14</v>
      </c>
      <c r="E71" t="s">
        <v>11</v>
      </c>
      <c r="F71" t="s">
        <v>10</v>
      </c>
      <c r="G71" s="25" t="s">
        <v>43</v>
      </c>
      <c r="H71" s="25" t="s">
        <v>43</v>
      </c>
      <c r="I71" s="25" t="s">
        <v>43</v>
      </c>
      <c r="J71" s="25" t="s">
        <v>43</v>
      </c>
      <c r="K71" s="25" t="s">
        <v>43</v>
      </c>
      <c r="L71" s="25" t="s">
        <v>43</v>
      </c>
    </row>
    <row r="72" spans="1:12" x14ac:dyDescent="0.25">
      <c r="A72" s="25">
        <v>69</v>
      </c>
      <c r="B72" s="25">
        <v>69</v>
      </c>
      <c r="C72" s="25" t="str">
        <f>INDEX(cursoDisciplina!$A$4:$F$112,MATCH(disciplinaGrade!B72,cursoDisciplina!$A$4:$A$112,0),MATCH(cursoDisciplina!$C$4,cursoDisciplina!$A$4:$F$4,0))</f>
        <v>curso 4</v>
      </c>
      <c r="D72" t="str">
        <f>INDEX(cursoDisciplina!$A$4:$F$112,MATCH(disciplinaGrade!B72,cursoDisciplina!$A$4:$A$112,0),MATCH(cursoDisciplina!$E$4,cursoDisciplina!$A$4:$F$4,0))</f>
        <v>Disciplina 15</v>
      </c>
      <c r="E72" t="s">
        <v>11</v>
      </c>
      <c r="F72" t="s">
        <v>10</v>
      </c>
      <c r="G72" s="25" t="s">
        <v>43</v>
      </c>
      <c r="H72" s="25" t="s">
        <v>43</v>
      </c>
      <c r="I72" s="25" t="s">
        <v>43</v>
      </c>
      <c r="J72" s="25" t="s">
        <v>43</v>
      </c>
      <c r="K72" s="25" t="s">
        <v>43</v>
      </c>
      <c r="L72" s="25" t="s">
        <v>43</v>
      </c>
    </row>
    <row r="73" spans="1:12" x14ac:dyDescent="0.25">
      <c r="A73" s="25">
        <v>70</v>
      </c>
      <c r="B73" s="25">
        <v>70</v>
      </c>
      <c r="C73" s="25" t="str">
        <f>INDEX(cursoDisciplina!$A$4:$F$112,MATCH(disciplinaGrade!B73,cursoDisciplina!$A$4:$A$112,0),MATCH(cursoDisciplina!$C$4,cursoDisciplina!$A$4:$F$4,0))</f>
        <v>curso 5</v>
      </c>
      <c r="D73" t="str">
        <f>INDEX(cursoDisciplina!$A$4:$F$112,MATCH(disciplinaGrade!B73,cursoDisciplina!$A$4:$A$112,0),MATCH(cursoDisciplina!$E$4,cursoDisciplina!$A$4:$F$4,0))</f>
        <v>laboratóeio de engenharia de Software</v>
      </c>
      <c r="E73" t="s">
        <v>11</v>
      </c>
      <c r="F73" t="s">
        <v>10</v>
      </c>
      <c r="G73" s="25" t="s">
        <v>43</v>
      </c>
      <c r="H73" s="25" t="s">
        <v>43</v>
      </c>
      <c r="I73" s="25" t="s">
        <v>43</v>
      </c>
      <c r="J73" s="25" t="s">
        <v>43</v>
      </c>
      <c r="K73" s="25" t="s">
        <v>43</v>
      </c>
      <c r="L73" s="25" t="s">
        <v>43</v>
      </c>
    </row>
    <row r="74" spans="1:12" x14ac:dyDescent="0.25">
      <c r="A74" s="25">
        <v>71</v>
      </c>
      <c r="B74" s="25">
        <v>71</v>
      </c>
      <c r="C74" s="25" t="str">
        <f>INDEX(cursoDisciplina!$A$4:$F$112,MATCH(disciplinaGrade!B74,cursoDisciplina!$A$4:$A$112,0),MATCH(cursoDisciplina!$C$4,cursoDisciplina!$A$4:$F$4,0))</f>
        <v>curso 5</v>
      </c>
      <c r="D74" t="str">
        <f>INDEX(cursoDisciplina!$A$4:$F$112,MATCH(disciplinaGrade!B74,cursoDisciplina!$A$4:$A$112,0),MATCH(cursoDisciplina!$E$4,cursoDisciplina!$A$4:$F$4,0))</f>
        <v>Estrutura de Dados</v>
      </c>
      <c r="E74" t="s">
        <v>11</v>
      </c>
      <c r="F74" t="s">
        <v>10</v>
      </c>
      <c r="G74" s="25" t="s">
        <v>43</v>
      </c>
      <c r="H74" s="25" t="s">
        <v>43</v>
      </c>
      <c r="I74" s="25" t="s">
        <v>43</v>
      </c>
      <c r="J74" s="25" t="s">
        <v>43</v>
      </c>
      <c r="K74" s="25" t="s">
        <v>43</v>
      </c>
      <c r="L74" s="25" t="s">
        <v>43</v>
      </c>
    </row>
    <row r="75" spans="1:12" x14ac:dyDescent="0.25">
      <c r="A75" s="25">
        <v>72</v>
      </c>
      <c r="B75" s="25">
        <v>72</v>
      </c>
      <c r="C75" s="25" t="str">
        <f>INDEX(cursoDisciplina!$A$4:$F$112,MATCH(disciplinaGrade!B75,cursoDisciplina!$A$4:$A$112,0),MATCH(cursoDisciplina!$C$4,cursoDisciplina!$A$4:$F$4,0))</f>
        <v>curso 5</v>
      </c>
      <c r="D75" t="str">
        <f>INDEX(cursoDisciplina!$A$4:$F$112,MATCH(disciplinaGrade!B75,cursoDisciplina!$A$4:$A$112,0),MATCH(cursoDisciplina!$E$4,cursoDisciplina!$A$4:$F$4,0))</f>
        <v>PEM</v>
      </c>
      <c r="E75" t="s">
        <v>11</v>
      </c>
      <c r="F75" t="s">
        <v>10</v>
      </c>
      <c r="G75" s="25" t="s">
        <v>43</v>
      </c>
      <c r="H75" s="25" t="s">
        <v>43</v>
      </c>
      <c r="I75" s="25" t="s">
        <v>43</v>
      </c>
      <c r="J75" s="25" t="s">
        <v>43</v>
      </c>
      <c r="K75" s="25" t="s">
        <v>43</v>
      </c>
      <c r="L75" s="25" t="s">
        <v>43</v>
      </c>
    </row>
    <row r="76" spans="1:12" x14ac:dyDescent="0.25">
      <c r="A76" s="25">
        <v>73</v>
      </c>
      <c r="B76" s="25">
        <v>73</v>
      </c>
      <c r="C76" s="25" t="str">
        <f>INDEX(cursoDisciplina!$A$4:$F$112,MATCH(disciplinaGrade!B76,cursoDisciplina!$A$4:$A$112,0),MATCH(cursoDisciplina!$C$4,cursoDisciplina!$A$4:$F$4,0))</f>
        <v>curso 5</v>
      </c>
      <c r="D76" t="str">
        <f>INDEX(cursoDisciplina!$A$4:$F$112,MATCH(disciplinaGrade!B76,cursoDisciplina!$A$4:$A$112,0),MATCH(cursoDisciplina!$E$4,cursoDisciplina!$A$4:$F$4,0))</f>
        <v>Disciplina 4</v>
      </c>
      <c r="E76" t="s">
        <v>11</v>
      </c>
      <c r="F76" t="s">
        <v>10</v>
      </c>
      <c r="G76" s="25" t="s">
        <v>43</v>
      </c>
      <c r="H76" s="25" t="s">
        <v>43</v>
      </c>
      <c r="I76" s="25" t="s">
        <v>43</v>
      </c>
      <c r="J76" s="25" t="s">
        <v>43</v>
      </c>
      <c r="K76" s="25" t="s">
        <v>43</v>
      </c>
      <c r="L76" s="25" t="s">
        <v>43</v>
      </c>
    </row>
    <row r="77" spans="1:12" x14ac:dyDescent="0.25">
      <c r="A77" s="25">
        <v>74</v>
      </c>
      <c r="B77" s="25">
        <v>74</v>
      </c>
      <c r="C77" s="25" t="str">
        <f>INDEX(cursoDisciplina!$A$4:$F$112,MATCH(disciplinaGrade!B77,cursoDisciplina!$A$4:$A$112,0),MATCH(cursoDisciplina!$C$4,cursoDisciplina!$A$4:$F$4,0))</f>
        <v>curso 5</v>
      </c>
      <c r="D77" t="str">
        <f>INDEX(cursoDisciplina!$A$4:$F$112,MATCH(disciplinaGrade!B77,cursoDisciplina!$A$4:$A$112,0),MATCH(cursoDisciplina!$E$4,cursoDisciplina!$A$4:$F$4,0))</f>
        <v>Disciplina 5</v>
      </c>
      <c r="E77" t="s">
        <v>11</v>
      </c>
      <c r="F77" t="s">
        <v>10</v>
      </c>
      <c r="G77" s="25" t="s">
        <v>43</v>
      </c>
      <c r="H77" s="25" t="s">
        <v>43</v>
      </c>
      <c r="I77" s="25" t="s">
        <v>43</v>
      </c>
      <c r="J77" s="25" t="s">
        <v>43</v>
      </c>
      <c r="K77" s="25" t="s">
        <v>43</v>
      </c>
      <c r="L77" s="25" t="s">
        <v>43</v>
      </c>
    </row>
    <row r="78" spans="1:12" x14ac:dyDescent="0.25">
      <c r="A78" s="25">
        <v>75</v>
      </c>
      <c r="B78" s="25">
        <v>75</v>
      </c>
      <c r="C78" s="25" t="str">
        <f>INDEX(cursoDisciplina!$A$4:$F$112,MATCH(disciplinaGrade!B78,cursoDisciplina!$A$4:$A$112,0),MATCH(cursoDisciplina!$C$4,cursoDisciplina!$A$4:$F$4,0))</f>
        <v>curso 5</v>
      </c>
      <c r="D78" t="str">
        <f>INDEX(cursoDisciplina!$A$4:$F$112,MATCH(disciplinaGrade!B78,cursoDisciplina!$A$4:$A$112,0),MATCH(cursoDisciplina!$E$4,cursoDisciplina!$A$4:$F$4,0))</f>
        <v>Disciplina 6</v>
      </c>
      <c r="E78" t="s">
        <v>11</v>
      </c>
      <c r="F78" t="s">
        <v>10</v>
      </c>
      <c r="G78" s="25" t="s">
        <v>43</v>
      </c>
      <c r="H78" s="25" t="s">
        <v>43</v>
      </c>
      <c r="I78" s="25" t="s">
        <v>43</v>
      </c>
      <c r="J78" s="25" t="s">
        <v>43</v>
      </c>
      <c r="K78" s="25" t="s">
        <v>43</v>
      </c>
      <c r="L78" s="25" t="s">
        <v>43</v>
      </c>
    </row>
    <row r="79" spans="1:12" x14ac:dyDescent="0.25">
      <c r="A79" s="25">
        <v>76</v>
      </c>
      <c r="B79" s="25">
        <v>76</v>
      </c>
      <c r="C79" s="25" t="str">
        <f>INDEX(cursoDisciplina!$A$4:$F$112,MATCH(disciplinaGrade!B79,cursoDisciplina!$A$4:$A$112,0),MATCH(cursoDisciplina!$C$4,cursoDisciplina!$A$4:$F$4,0))</f>
        <v>curso 5</v>
      </c>
      <c r="D79" t="str">
        <f>INDEX(cursoDisciplina!$A$4:$F$112,MATCH(disciplinaGrade!B79,cursoDisciplina!$A$4:$A$112,0),MATCH(cursoDisciplina!$E$4,cursoDisciplina!$A$4:$F$4,0))</f>
        <v>Disciplina 7</v>
      </c>
      <c r="E79" t="s">
        <v>11</v>
      </c>
      <c r="F79" t="s">
        <v>10</v>
      </c>
      <c r="G79" s="25" t="s">
        <v>43</v>
      </c>
      <c r="H79" s="25" t="s">
        <v>43</v>
      </c>
      <c r="I79" s="25" t="s">
        <v>43</v>
      </c>
      <c r="J79" s="25" t="s">
        <v>43</v>
      </c>
      <c r="K79" s="25" t="s">
        <v>43</v>
      </c>
      <c r="L79" s="25" t="s">
        <v>43</v>
      </c>
    </row>
    <row r="80" spans="1:12" x14ac:dyDescent="0.25">
      <c r="A80" s="25">
        <v>77</v>
      </c>
      <c r="B80" s="25">
        <v>77</v>
      </c>
      <c r="C80" s="25" t="str">
        <f>INDEX(cursoDisciplina!$A$4:$F$112,MATCH(disciplinaGrade!B80,cursoDisciplina!$A$4:$A$112,0),MATCH(cursoDisciplina!$C$4,cursoDisciplina!$A$4:$F$4,0))</f>
        <v>curso 5</v>
      </c>
      <c r="D80" t="str">
        <f>INDEX(cursoDisciplina!$A$4:$F$112,MATCH(disciplinaGrade!B80,cursoDisciplina!$A$4:$A$112,0),MATCH(cursoDisciplina!$E$4,cursoDisciplina!$A$4:$F$4,0))</f>
        <v>Disciplina 8</v>
      </c>
      <c r="E80" t="s">
        <v>11</v>
      </c>
      <c r="F80" t="s">
        <v>10</v>
      </c>
      <c r="G80" s="25" t="s">
        <v>43</v>
      </c>
      <c r="H80" s="25" t="s">
        <v>43</v>
      </c>
      <c r="I80" s="25" t="s">
        <v>43</v>
      </c>
      <c r="J80" s="25" t="s">
        <v>43</v>
      </c>
      <c r="K80" s="25" t="s">
        <v>43</v>
      </c>
      <c r="L80" s="25" t="s">
        <v>43</v>
      </c>
    </row>
    <row r="81" spans="1:12" x14ac:dyDescent="0.25">
      <c r="A81" s="25">
        <v>78</v>
      </c>
      <c r="B81" s="25">
        <v>78</v>
      </c>
      <c r="C81" s="25" t="str">
        <f>INDEX(cursoDisciplina!$A$4:$F$112,MATCH(disciplinaGrade!B81,cursoDisciplina!$A$4:$A$112,0),MATCH(cursoDisciplina!$C$4,cursoDisciplina!$A$4:$F$4,0))</f>
        <v>curso 5</v>
      </c>
      <c r="D81" t="str">
        <f>INDEX(cursoDisciplina!$A$4:$F$112,MATCH(disciplinaGrade!B81,cursoDisciplina!$A$4:$A$112,0),MATCH(cursoDisciplina!$E$4,cursoDisciplina!$A$4:$F$4,0))</f>
        <v>Disciplina 9</v>
      </c>
      <c r="E81" t="s">
        <v>11</v>
      </c>
      <c r="F81" t="s">
        <v>10</v>
      </c>
      <c r="G81" s="25" t="s">
        <v>43</v>
      </c>
      <c r="H81" s="25" t="s">
        <v>43</v>
      </c>
      <c r="I81" s="25" t="s">
        <v>43</v>
      </c>
      <c r="J81" s="25" t="s">
        <v>43</v>
      </c>
      <c r="K81" s="25" t="s">
        <v>43</v>
      </c>
      <c r="L81" s="25" t="s">
        <v>43</v>
      </c>
    </row>
    <row r="82" spans="1:12" x14ac:dyDescent="0.25">
      <c r="A82" s="25">
        <v>79</v>
      </c>
      <c r="B82" s="25">
        <v>79</v>
      </c>
      <c r="C82" s="25" t="str">
        <f>INDEX(cursoDisciplina!$A$4:$F$112,MATCH(disciplinaGrade!B82,cursoDisciplina!$A$4:$A$112,0),MATCH(cursoDisciplina!$C$4,cursoDisciplina!$A$4:$F$4,0))</f>
        <v>curso 5</v>
      </c>
      <c r="D82" t="str">
        <f>INDEX(cursoDisciplina!$A$4:$F$112,MATCH(disciplinaGrade!B82,cursoDisciplina!$A$4:$A$112,0),MATCH(cursoDisciplina!$E$4,cursoDisciplina!$A$4:$F$4,0))</f>
        <v>Disciplina 10</v>
      </c>
      <c r="E82" t="s">
        <v>11</v>
      </c>
      <c r="F82" t="s">
        <v>10</v>
      </c>
      <c r="G82" s="25" t="s">
        <v>43</v>
      </c>
      <c r="H82" s="25" t="s">
        <v>43</v>
      </c>
      <c r="I82" s="25" t="s">
        <v>43</v>
      </c>
      <c r="J82" s="25" t="s">
        <v>43</v>
      </c>
      <c r="K82" s="25" t="s">
        <v>43</v>
      </c>
      <c r="L82" s="25" t="s">
        <v>43</v>
      </c>
    </row>
    <row r="83" spans="1:12" x14ac:dyDescent="0.25">
      <c r="A83" s="25">
        <v>80</v>
      </c>
      <c r="B83" s="25">
        <v>80</v>
      </c>
      <c r="C83" s="25" t="str">
        <f>INDEX(cursoDisciplina!$A$4:$F$112,MATCH(disciplinaGrade!B83,cursoDisciplina!$A$4:$A$112,0),MATCH(cursoDisciplina!$C$4,cursoDisciplina!$A$4:$F$4,0))</f>
        <v>curso 5</v>
      </c>
      <c r="D83" t="str">
        <f>INDEX(cursoDisciplina!$A$4:$F$112,MATCH(disciplinaGrade!B83,cursoDisciplina!$A$4:$A$112,0),MATCH(cursoDisciplina!$E$4,cursoDisciplina!$A$4:$F$4,0))</f>
        <v>Disciplina 11</v>
      </c>
      <c r="E83" t="s">
        <v>11</v>
      </c>
      <c r="F83" t="s">
        <v>10</v>
      </c>
      <c r="G83" s="25" t="s">
        <v>43</v>
      </c>
      <c r="H83" s="25" t="s">
        <v>43</v>
      </c>
      <c r="I83" s="25" t="s">
        <v>43</v>
      </c>
      <c r="J83" s="25" t="s">
        <v>43</v>
      </c>
      <c r="K83" s="25" t="s">
        <v>43</v>
      </c>
      <c r="L83" s="25" t="s">
        <v>43</v>
      </c>
    </row>
    <row r="84" spans="1:12" x14ac:dyDescent="0.25">
      <c r="A84" s="25">
        <v>81</v>
      </c>
      <c r="B84" s="25">
        <v>81</v>
      </c>
      <c r="C84" s="25" t="str">
        <f>INDEX(cursoDisciplina!$A$4:$F$112,MATCH(disciplinaGrade!B84,cursoDisciplina!$A$4:$A$112,0),MATCH(cursoDisciplina!$C$4,cursoDisciplina!$A$4:$F$4,0))</f>
        <v>curso 5</v>
      </c>
      <c r="D84" t="str">
        <f>INDEX(cursoDisciplina!$A$4:$F$112,MATCH(disciplinaGrade!B84,cursoDisciplina!$A$4:$A$112,0),MATCH(cursoDisciplina!$E$4,cursoDisciplina!$A$4:$F$4,0))</f>
        <v>Disciplina 12</v>
      </c>
      <c r="E84" t="s">
        <v>11</v>
      </c>
      <c r="F84" t="s">
        <v>10</v>
      </c>
      <c r="G84" s="25" t="s">
        <v>43</v>
      </c>
      <c r="H84" s="25" t="s">
        <v>43</v>
      </c>
      <c r="I84" s="25" t="s">
        <v>43</v>
      </c>
      <c r="J84" s="25" t="s">
        <v>43</v>
      </c>
      <c r="K84" s="25" t="s">
        <v>43</v>
      </c>
      <c r="L84" s="25" t="s">
        <v>43</v>
      </c>
    </row>
    <row r="85" spans="1:12" x14ac:dyDescent="0.25">
      <c r="A85" s="25">
        <v>82</v>
      </c>
      <c r="B85" s="25">
        <v>82</v>
      </c>
      <c r="C85" s="25" t="str">
        <f>INDEX(cursoDisciplina!$A$4:$F$112,MATCH(disciplinaGrade!B85,cursoDisciplina!$A$4:$A$112,0),MATCH(cursoDisciplina!$C$4,cursoDisciplina!$A$4:$F$4,0))</f>
        <v>curso 5</v>
      </c>
      <c r="D85" t="str">
        <f>INDEX(cursoDisciplina!$A$4:$F$112,MATCH(disciplinaGrade!B85,cursoDisciplina!$A$4:$A$112,0),MATCH(cursoDisciplina!$E$4,cursoDisciplina!$A$4:$F$4,0))</f>
        <v>Disciplina 13</v>
      </c>
      <c r="E85" t="s">
        <v>11</v>
      </c>
      <c r="F85" t="s">
        <v>10</v>
      </c>
      <c r="G85" s="25" t="s">
        <v>43</v>
      </c>
      <c r="H85" s="25" t="s">
        <v>43</v>
      </c>
      <c r="I85" s="25" t="s">
        <v>43</v>
      </c>
      <c r="J85" s="25" t="s">
        <v>43</v>
      </c>
      <c r="K85" s="25" t="s">
        <v>43</v>
      </c>
      <c r="L85" s="25" t="s">
        <v>43</v>
      </c>
    </row>
    <row r="86" spans="1:12" x14ac:dyDescent="0.25">
      <c r="A86" s="25">
        <v>83</v>
      </c>
      <c r="B86" s="25">
        <v>83</v>
      </c>
      <c r="C86" s="25" t="str">
        <f>INDEX(cursoDisciplina!$A$4:$F$112,MATCH(disciplinaGrade!B86,cursoDisciplina!$A$4:$A$112,0),MATCH(cursoDisciplina!$C$4,cursoDisciplina!$A$4:$F$4,0))</f>
        <v>curso 5</v>
      </c>
      <c r="D86" t="str">
        <f>INDEX(cursoDisciplina!$A$4:$F$112,MATCH(disciplinaGrade!B86,cursoDisciplina!$A$4:$A$112,0),MATCH(cursoDisciplina!$E$4,cursoDisciplina!$A$4:$F$4,0))</f>
        <v>Disciplina 14</v>
      </c>
      <c r="E86" t="s">
        <v>11</v>
      </c>
      <c r="F86" t="s">
        <v>10</v>
      </c>
      <c r="G86" s="25" t="s">
        <v>43</v>
      </c>
      <c r="H86" s="25" t="s">
        <v>43</v>
      </c>
      <c r="I86" s="25" t="s">
        <v>43</v>
      </c>
      <c r="J86" s="25" t="s">
        <v>43</v>
      </c>
      <c r="K86" s="25" t="s">
        <v>43</v>
      </c>
      <c r="L86" s="25" t="s">
        <v>43</v>
      </c>
    </row>
    <row r="87" spans="1:12" x14ac:dyDescent="0.25">
      <c r="A87" s="25">
        <v>84</v>
      </c>
      <c r="B87" s="25">
        <v>84</v>
      </c>
      <c r="C87" s="25" t="str">
        <f>INDEX(cursoDisciplina!$A$4:$F$112,MATCH(disciplinaGrade!B87,cursoDisciplina!$A$4:$A$112,0),MATCH(cursoDisciplina!$C$4,cursoDisciplina!$A$4:$F$4,0))</f>
        <v>curso 6</v>
      </c>
      <c r="D87" t="str">
        <f>INDEX(cursoDisciplina!$A$4:$F$112,MATCH(disciplinaGrade!B87,cursoDisciplina!$A$4:$A$112,0),MATCH(cursoDisciplina!$E$4,cursoDisciplina!$A$4:$F$4,0))</f>
        <v>laboratóeio de engenharia de Software</v>
      </c>
      <c r="E87" t="s">
        <v>11</v>
      </c>
      <c r="F87" t="s">
        <v>10</v>
      </c>
      <c r="G87" s="25" t="s">
        <v>43</v>
      </c>
      <c r="H87" s="25" t="s">
        <v>43</v>
      </c>
      <c r="I87" s="25" t="s">
        <v>43</v>
      </c>
      <c r="J87" s="25" t="s">
        <v>43</v>
      </c>
      <c r="K87" s="25" t="s">
        <v>43</v>
      </c>
      <c r="L87" s="25" t="s">
        <v>43</v>
      </c>
    </row>
    <row r="88" spans="1:12" x14ac:dyDescent="0.25">
      <c r="A88" s="25">
        <v>85</v>
      </c>
      <c r="B88" s="25">
        <v>85</v>
      </c>
      <c r="C88" s="25" t="str">
        <f>INDEX(cursoDisciplina!$A$4:$F$112,MATCH(disciplinaGrade!B88,cursoDisciplina!$A$4:$A$112,0),MATCH(cursoDisciplina!$C$4,cursoDisciplina!$A$4:$F$4,0))</f>
        <v>curso 6</v>
      </c>
      <c r="D88" t="str">
        <f>INDEX(cursoDisciplina!$A$4:$F$112,MATCH(disciplinaGrade!B88,cursoDisciplina!$A$4:$A$112,0),MATCH(cursoDisciplina!$E$4,cursoDisciplina!$A$4:$F$4,0))</f>
        <v>Estrutura de Dados</v>
      </c>
      <c r="E88" t="s">
        <v>11</v>
      </c>
      <c r="F88" t="s">
        <v>10</v>
      </c>
      <c r="G88" s="25" t="s">
        <v>43</v>
      </c>
      <c r="H88" s="25" t="s">
        <v>43</v>
      </c>
      <c r="I88" s="25" t="s">
        <v>43</v>
      </c>
      <c r="J88" s="25" t="s">
        <v>43</v>
      </c>
      <c r="K88" s="25" t="s">
        <v>43</v>
      </c>
      <c r="L88" s="25" t="s">
        <v>43</v>
      </c>
    </row>
    <row r="89" spans="1:12" x14ac:dyDescent="0.25">
      <c r="A89" s="25">
        <v>86</v>
      </c>
      <c r="B89" s="25">
        <v>86</v>
      </c>
      <c r="C89" s="25" t="str">
        <f>INDEX(cursoDisciplina!$A$4:$F$112,MATCH(disciplinaGrade!B89,cursoDisciplina!$A$4:$A$112,0),MATCH(cursoDisciplina!$C$4,cursoDisciplina!$A$4:$F$4,0))</f>
        <v>curso 6</v>
      </c>
      <c r="D89" t="str">
        <f>INDEX(cursoDisciplina!$A$4:$F$112,MATCH(disciplinaGrade!B89,cursoDisciplina!$A$4:$A$112,0),MATCH(cursoDisciplina!$E$4,cursoDisciplina!$A$4:$F$4,0))</f>
        <v>PEM</v>
      </c>
      <c r="E89" t="s">
        <v>11</v>
      </c>
      <c r="F89" t="s">
        <v>10</v>
      </c>
      <c r="G89" s="25" t="s">
        <v>43</v>
      </c>
      <c r="H89" s="25" t="s">
        <v>43</v>
      </c>
      <c r="I89" s="25" t="s">
        <v>43</v>
      </c>
      <c r="J89" s="25" t="s">
        <v>43</v>
      </c>
      <c r="K89" s="25" t="s">
        <v>43</v>
      </c>
      <c r="L89" s="25" t="s">
        <v>43</v>
      </c>
    </row>
    <row r="90" spans="1:12" x14ac:dyDescent="0.25">
      <c r="A90" s="25">
        <v>87</v>
      </c>
      <c r="B90" s="25">
        <v>87</v>
      </c>
      <c r="C90" s="25" t="str">
        <f>INDEX(cursoDisciplina!$A$4:$F$112,MATCH(disciplinaGrade!B90,cursoDisciplina!$A$4:$A$112,0),MATCH(cursoDisciplina!$C$4,cursoDisciplina!$A$4:$F$4,0))</f>
        <v>curso 6</v>
      </c>
      <c r="D90" t="str">
        <f>INDEX(cursoDisciplina!$A$4:$F$112,MATCH(disciplinaGrade!B90,cursoDisciplina!$A$4:$A$112,0),MATCH(cursoDisciplina!$E$4,cursoDisciplina!$A$4:$F$4,0))</f>
        <v>Disciplina 4</v>
      </c>
      <c r="E90" t="s">
        <v>11</v>
      </c>
      <c r="F90" t="s">
        <v>10</v>
      </c>
      <c r="G90" s="25" t="s">
        <v>43</v>
      </c>
      <c r="H90" s="25" t="s">
        <v>43</v>
      </c>
      <c r="I90" s="25" t="s">
        <v>43</v>
      </c>
      <c r="J90" s="25" t="s">
        <v>43</v>
      </c>
      <c r="K90" s="25" t="s">
        <v>43</v>
      </c>
      <c r="L90" s="25" t="s">
        <v>43</v>
      </c>
    </row>
    <row r="91" spans="1:12" x14ac:dyDescent="0.25">
      <c r="A91" s="25">
        <v>88</v>
      </c>
      <c r="B91" s="25">
        <v>88</v>
      </c>
      <c r="C91" s="25" t="str">
        <f>INDEX(cursoDisciplina!$A$4:$F$112,MATCH(disciplinaGrade!B91,cursoDisciplina!$A$4:$A$112,0),MATCH(cursoDisciplina!$C$4,cursoDisciplina!$A$4:$F$4,0))</f>
        <v>curso 6</v>
      </c>
      <c r="D91" t="str">
        <f>INDEX(cursoDisciplina!$A$4:$F$112,MATCH(disciplinaGrade!B91,cursoDisciplina!$A$4:$A$112,0),MATCH(cursoDisciplina!$E$4,cursoDisciplina!$A$4:$F$4,0))</f>
        <v>Disciplina 5</v>
      </c>
      <c r="E91" t="s">
        <v>11</v>
      </c>
      <c r="F91" t="s">
        <v>10</v>
      </c>
      <c r="G91" s="25" t="s">
        <v>43</v>
      </c>
      <c r="H91" s="25" t="s">
        <v>43</v>
      </c>
      <c r="I91" s="25" t="s">
        <v>43</v>
      </c>
      <c r="J91" s="25" t="s">
        <v>43</v>
      </c>
      <c r="K91" s="25" t="s">
        <v>43</v>
      </c>
      <c r="L91" s="25" t="s">
        <v>43</v>
      </c>
    </row>
    <row r="92" spans="1:12" x14ac:dyDescent="0.25">
      <c r="A92" s="25">
        <v>89</v>
      </c>
      <c r="B92" s="25">
        <v>89</v>
      </c>
      <c r="C92" s="25" t="str">
        <f>INDEX(cursoDisciplina!$A$4:$F$112,MATCH(disciplinaGrade!B92,cursoDisciplina!$A$4:$A$112,0),MATCH(cursoDisciplina!$C$4,cursoDisciplina!$A$4:$F$4,0))</f>
        <v>curso 6</v>
      </c>
      <c r="D92" t="str">
        <f>INDEX(cursoDisciplina!$A$4:$F$112,MATCH(disciplinaGrade!B92,cursoDisciplina!$A$4:$A$112,0),MATCH(cursoDisciplina!$E$4,cursoDisciplina!$A$4:$F$4,0))</f>
        <v>Disciplina 6</v>
      </c>
      <c r="E92" t="s">
        <v>11</v>
      </c>
      <c r="F92" t="s">
        <v>10</v>
      </c>
      <c r="G92" s="25" t="s">
        <v>43</v>
      </c>
      <c r="H92" s="25" t="s">
        <v>43</v>
      </c>
      <c r="I92" s="25" t="s">
        <v>43</v>
      </c>
      <c r="J92" s="25" t="s">
        <v>43</v>
      </c>
      <c r="K92" s="25" t="s">
        <v>43</v>
      </c>
      <c r="L92" s="25" t="s">
        <v>43</v>
      </c>
    </row>
    <row r="93" spans="1:12" x14ac:dyDescent="0.25">
      <c r="A93" s="25">
        <v>90</v>
      </c>
      <c r="B93" s="25">
        <v>90</v>
      </c>
      <c r="C93" s="25" t="str">
        <f>INDEX(cursoDisciplina!$A$4:$F$112,MATCH(disciplinaGrade!B93,cursoDisciplina!$A$4:$A$112,0),MATCH(cursoDisciplina!$C$4,cursoDisciplina!$A$4:$F$4,0))</f>
        <v>curso 6</v>
      </c>
      <c r="D93" t="str">
        <f>INDEX(cursoDisciplina!$A$4:$F$112,MATCH(disciplinaGrade!B93,cursoDisciplina!$A$4:$A$112,0),MATCH(cursoDisciplina!$E$4,cursoDisciplina!$A$4:$F$4,0))</f>
        <v>Disciplina 7</v>
      </c>
      <c r="E93" t="s">
        <v>11</v>
      </c>
      <c r="F93" t="s">
        <v>10</v>
      </c>
      <c r="G93" s="25" t="s">
        <v>43</v>
      </c>
      <c r="H93" s="25" t="s">
        <v>43</v>
      </c>
      <c r="I93" s="25" t="s">
        <v>43</v>
      </c>
      <c r="J93" s="25" t="s">
        <v>43</v>
      </c>
      <c r="K93" s="25" t="s">
        <v>43</v>
      </c>
      <c r="L93" s="25" t="s">
        <v>43</v>
      </c>
    </row>
    <row r="94" spans="1:12" x14ac:dyDescent="0.25">
      <c r="A94" s="25">
        <v>91</v>
      </c>
      <c r="B94" s="25">
        <v>91</v>
      </c>
      <c r="C94" s="25" t="str">
        <f>INDEX(cursoDisciplina!$A$4:$F$112,MATCH(disciplinaGrade!B94,cursoDisciplina!$A$4:$A$112,0),MATCH(cursoDisciplina!$C$4,cursoDisciplina!$A$4:$F$4,0))</f>
        <v>curso 6</v>
      </c>
      <c r="D94" t="str">
        <f>INDEX(cursoDisciplina!$A$4:$F$112,MATCH(disciplinaGrade!B94,cursoDisciplina!$A$4:$A$112,0),MATCH(cursoDisciplina!$E$4,cursoDisciplina!$A$4:$F$4,0))</f>
        <v>Disciplina 8</v>
      </c>
      <c r="E94" t="s">
        <v>11</v>
      </c>
      <c r="F94" t="s">
        <v>10</v>
      </c>
      <c r="G94" s="25" t="s">
        <v>43</v>
      </c>
      <c r="H94" s="25" t="s">
        <v>43</v>
      </c>
      <c r="I94" s="25" t="s">
        <v>43</v>
      </c>
      <c r="J94" s="25" t="s">
        <v>43</v>
      </c>
      <c r="K94" s="25" t="s">
        <v>43</v>
      </c>
      <c r="L94" s="25" t="s">
        <v>43</v>
      </c>
    </row>
    <row r="95" spans="1:12" x14ac:dyDescent="0.25">
      <c r="A95" s="25">
        <v>92</v>
      </c>
      <c r="B95" s="25">
        <v>92</v>
      </c>
      <c r="C95" s="25" t="str">
        <f>INDEX(cursoDisciplina!$A$4:$F$112,MATCH(disciplinaGrade!B95,cursoDisciplina!$A$4:$A$112,0),MATCH(cursoDisciplina!$C$4,cursoDisciplina!$A$4:$F$4,0))</f>
        <v>curso 6</v>
      </c>
      <c r="D95" t="str">
        <f>INDEX(cursoDisciplina!$A$4:$F$112,MATCH(disciplinaGrade!B95,cursoDisciplina!$A$4:$A$112,0),MATCH(cursoDisciplina!$E$4,cursoDisciplina!$A$4:$F$4,0))</f>
        <v>Disciplina 9</v>
      </c>
      <c r="E95" t="s">
        <v>11</v>
      </c>
      <c r="F95" t="s">
        <v>10</v>
      </c>
      <c r="G95" s="25" t="s">
        <v>43</v>
      </c>
      <c r="H95" s="25" t="s">
        <v>43</v>
      </c>
      <c r="I95" s="25" t="s">
        <v>43</v>
      </c>
      <c r="J95" s="25" t="s">
        <v>43</v>
      </c>
      <c r="K95" s="25" t="s">
        <v>43</v>
      </c>
      <c r="L95" s="25" t="s">
        <v>43</v>
      </c>
    </row>
    <row r="96" spans="1:12" x14ac:dyDescent="0.25">
      <c r="A96" s="25">
        <v>93</v>
      </c>
      <c r="B96" s="25">
        <v>93</v>
      </c>
      <c r="C96" s="25" t="str">
        <f>INDEX(cursoDisciplina!$A$4:$F$112,MATCH(disciplinaGrade!B96,cursoDisciplina!$A$4:$A$112,0),MATCH(cursoDisciplina!$C$4,cursoDisciplina!$A$4:$F$4,0))</f>
        <v>curso 6</v>
      </c>
      <c r="D96" t="str">
        <f>INDEX(cursoDisciplina!$A$4:$F$112,MATCH(disciplinaGrade!B96,cursoDisciplina!$A$4:$A$112,0),MATCH(cursoDisciplina!$E$4,cursoDisciplina!$A$4:$F$4,0))</f>
        <v>Disciplina 10</v>
      </c>
      <c r="E96" t="s">
        <v>11</v>
      </c>
      <c r="F96" t="s">
        <v>10</v>
      </c>
      <c r="G96" s="25" t="s">
        <v>43</v>
      </c>
      <c r="H96" s="25" t="s">
        <v>43</v>
      </c>
      <c r="I96" s="25" t="s">
        <v>43</v>
      </c>
      <c r="J96" s="25" t="s">
        <v>43</v>
      </c>
      <c r="K96" s="25" t="s">
        <v>43</v>
      </c>
      <c r="L96" s="25" t="s">
        <v>43</v>
      </c>
    </row>
    <row r="97" spans="1:12" x14ac:dyDescent="0.25">
      <c r="A97" s="25">
        <v>94</v>
      </c>
      <c r="B97" s="25">
        <v>94</v>
      </c>
      <c r="C97" s="25" t="str">
        <f>INDEX(cursoDisciplina!$A$4:$F$112,MATCH(disciplinaGrade!B97,cursoDisciplina!$A$4:$A$112,0),MATCH(cursoDisciplina!$C$4,cursoDisciplina!$A$4:$F$4,0))</f>
        <v>curso 6</v>
      </c>
      <c r="D97" t="str">
        <f>INDEX(cursoDisciplina!$A$4:$F$112,MATCH(disciplinaGrade!B97,cursoDisciplina!$A$4:$A$112,0),MATCH(cursoDisciplina!$E$4,cursoDisciplina!$A$4:$F$4,0))</f>
        <v>Disciplina 11</v>
      </c>
      <c r="E97" t="s">
        <v>11</v>
      </c>
      <c r="F97" t="s">
        <v>10</v>
      </c>
      <c r="G97" s="25" t="s">
        <v>43</v>
      </c>
      <c r="H97" s="25" t="s">
        <v>43</v>
      </c>
      <c r="I97" s="25" t="s">
        <v>43</v>
      </c>
      <c r="J97" s="25" t="s">
        <v>43</v>
      </c>
      <c r="K97" s="25" t="s">
        <v>43</v>
      </c>
      <c r="L97" s="25" t="s">
        <v>43</v>
      </c>
    </row>
    <row r="98" spans="1:12" x14ac:dyDescent="0.25">
      <c r="A98" s="25">
        <v>95</v>
      </c>
      <c r="B98" s="25">
        <v>95</v>
      </c>
      <c r="C98" s="25" t="str">
        <f>INDEX(cursoDisciplina!$A$4:$F$112,MATCH(disciplinaGrade!B98,cursoDisciplina!$A$4:$A$112,0),MATCH(cursoDisciplina!$C$4,cursoDisciplina!$A$4:$F$4,0))</f>
        <v>curso 6</v>
      </c>
      <c r="D98" t="str">
        <f>INDEX(cursoDisciplina!$A$4:$F$112,MATCH(disciplinaGrade!B98,cursoDisciplina!$A$4:$A$112,0),MATCH(cursoDisciplina!$E$4,cursoDisciplina!$A$4:$F$4,0))</f>
        <v>Disciplina 12</v>
      </c>
      <c r="E98" t="s">
        <v>11</v>
      </c>
      <c r="F98" t="s">
        <v>10</v>
      </c>
      <c r="G98" s="25" t="s">
        <v>43</v>
      </c>
      <c r="H98" s="25" t="s">
        <v>43</v>
      </c>
      <c r="I98" s="25" t="s">
        <v>43</v>
      </c>
      <c r="J98" s="25" t="s">
        <v>43</v>
      </c>
      <c r="K98" s="25" t="s">
        <v>43</v>
      </c>
      <c r="L98" s="25" t="s">
        <v>43</v>
      </c>
    </row>
    <row r="99" spans="1:12" x14ac:dyDescent="0.25">
      <c r="A99" s="25">
        <v>96</v>
      </c>
      <c r="B99" s="25">
        <v>96</v>
      </c>
      <c r="C99" s="25" t="str">
        <f>INDEX(cursoDisciplina!$A$4:$F$112,MATCH(disciplinaGrade!B99,cursoDisciplina!$A$4:$A$112,0),MATCH(cursoDisciplina!$C$4,cursoDisciplina!$A$4:$F$4,0))</f>
        <v>curso 6</v>
      </c>
      <c r="D99" t="str">
        <f>INDEX(cursoDisciplina!$A$4:$F$112,MATCH(disciplinaGrade!B99,cursoDisciplina!$A$4:$A$112,0),MATCH(cursoDisciplina!$E$4,cursoDisciplina!$A$4:$F$4,0))</f>
        <v>Disciplina 13</v>
      </c>
      <c r="E99" t="s">
        <v>11</v>
      </c>
      <c r="F99" t="s">
        <v>10</v>
      </c>
      <c r="G99" s="25" t="s">
        <v>43</v>
      </c>
      <c r="H99" s="25" t="s">
        <v>43</v>
      </c>
      <c r="I99" s="25" t="s">
        <v>43</v>
      </c>
      <c r="J99" s="25" t="s">
        <v>43</v>
      </c>
      <c r="K99" s="25" t="s">
        <v>43</v>
      </c>
      <c r="L99" s="25" t="s">
        <v>43</v>
      </c>
    </row>
    <row r="100" spans="1:12" x14ac:dyDescent="0.25">
      <c r="A100" s="25">
        <v>97</v>
      </c>
      <c r="B100" s="25">
        <v>97</v>
      </c>
      <c r="C100" s="25" t="str">
        <f>INDEX(cursoDisciplina!$A$4:$F$112,MATCH(disciplinaGrade!B100,cursoDisciplina!$A$4:$A$112,0),MATCH(cursoDisciplina!$C$4,cursoDisciplina!$A$4:$F$4,0))</f>
        <v>curso 6</v>
      </c>
      <c r="D100" t="str">
        <f>INDEX(cursoDisciplina!$A$4:$F$112,MATCH(disciplinaGrade!B100,cursoDisciplina!$A$4:$A$112,0),MATCH(cursoDisciplina!$E$4,cursoDisciplina!$A$4:$F$4,0))</f>
        <v>Disciplina 14</v>
      </c>
      <c r="E100" t="s">
        <v>11</v>
      </c>
      <c r="F100" t="s">
        <v>10</v>
      </c>
      <c r="G100" s="25" t="s">
        <v>43</v>
      </c>
      <c r="H100" s="25" t="s">
        <v>43</v>
      </c>
      <c r="I100" s="25" t="s">
        <v>43</v>
      </c>
      <c r="J100" s="25" t="s">
        <v>43</v>
      </c>
      <c r="K100" s="25" t="s">
        <v>43</v>
      </c>
      <c r="L100" s="25" t="s">
        <v>43</v>
      </c>
    </row>
    <row r="101" spans="1:12" x14ac:dyDescent="0.25">
      <c r="A101" s="25">
        <v>98</v>
      </c>
      <c r="B101" s="25">
        <v>98</v>
      </c>
      <c r="C101" s="25" t="str">
        <f>INDEX(cursoDisciplina!$A$4:$F$112,MATCH(disciplinaGrade!B101,cursoDisciplina!$A$4:$A$112,0),MATCH(cursoDisciplina!$C$4,cursoDisciplina!$A$4:$F$4,0))</f>
        <v>curso 6</v>
      </c>
      <c r="D101" t="str">
        <f>INDEX(cursoDisciplina!$A$4:$F$112,MATCH(disciplinaGrade!B101,cursoDisciplina!$A$4:$A$112,0),MATCH(cursoDisciplina!$E$4,cursoDisciplina!$A$4:$F$4,0))</f>
        <v>Disciplina 15</v>
      </c>
      <c r="E101" t="s">
        <v>11</v>
      </c>
      <c r="F101" t="s">
        <v>10</v>
      </c>
      <c r="G101" s="25" t="s">
        <v>43</v>
      </c>
      <c r="H101" s="25" t="s">
        <v>43</v>
      </c>
      <c r="I101" s="25" t="s">
        <v>43</v>
      </c>
      <c r="J101" s="25" t="s">
        <v>43</v>
      </c>
      <c r="K101" s="25" t="s">
        <v>43</v>
      </c>
      <c r="L101" s="25" t="s">
        <v>43</v>
      </c>
    </row>
    <row r="102" spans="1:12" x14ac:dyDescent="0.25">
      <c r="A102" s="25">
        <v>99</v>
      </c>
      <c r="B102" s="25">
        <v>99</v>
      </c>
      <c r="C102" s="25" t="str">
        <f>INDEX(cursoDisciplina!$A$4:$F$112,MATCH(disciplinaGrade!B102,cursoDisciplina!$A$4:$A$112,0),MATCH(cursoDisciplina!$C$4,cursoDisciplina!$A$4:$F$4,0))</f>
        <v>curso 6</v>
      </c>
      <c r="D102" t="str">
        <f>INDEX(cursoDisciplina!$A$4:$F$112,MATCH(disciplinaGrade!B102,cursoDisciplina!$A$4:$A$112,0),MATCH(cursoDisciplina!$E$4,cursoDisciplina!$A$4:$F$4,0))</f>
        <v>Disciplina 16</v>
      </c>
      <c r="E102" t="s">
        <v>11</v>
      </c>
      <c r="F102" t="s">
        <v>10</v>
      </c>
      <c r="G102" s="25" t="s">
        <v>43</v>
      </c>
      <c r="H102" s="25" t="s">
        <v>43</v>
      </c>
      <c r="I102" s="25" t="s">
        <v>43</v>
      </c>
      <c r="J102" s="25" t="s">
        <v>43</v>
      </c>
      <c r="K102" s="25" t="s">
        <v>43</v>
      </c>
      <c r="L102" s="25" t="s">
        <v>43</v>
      </c>
    </row>
    <row r="103" spans="1:12" x14ac:dyDescent="0.25">
      <c r="A103" s="25">
        <v>100</v>
      </c>
      <c r="B103" s="25">
        <v>100</v>
      </c>
      <c r="C103" s="25" t="str">
        <f>INDEX(cursoDisciplina!$A$4:$F$112,MATCH(disciplinaGrade!B103,cursoDisciplina!$A$4:$A$112,0),MATCH(cursoDisciplina!$C$4,cursoDisciplina!$A$4:$F$4,0))</f>
        <v>curso 6</v>
      </c>
      <c r="D103" t="str">
        <f>INDEX(cursoDisciplina!$A$4:$F$112,MATCH(disciplinaGrade!B103,cursoDisciplina!$A$4:$A$112,0),MATCH(cursoDisciplina!$E$4,cursoDisciplina!$A$4:$F$4,0))</f>
        <v>Disciplina 17</v>
      </c>
      <c r="E103" t="s">
        <v>11</v>
      </c>
      <c r="F103" t="s">
        <v>10</v>
      </c>
      <c r="G103" s="25" t="s">
        <v>43</v>
      </c>
      <c r="H103" s="25" t="s">
        <v>43</v>
      </c>
      <c r="I103" s="25" t="s">
        <v>43</v>
      </c>
      <c r="J103" s="25" t="s">
        <v>43</v>
      </c>
      <c r="K103" s="25" t="s">
        <v>43</v>
      </c>
      <c r="L103" s="25" t="s">
        <v>43</v>
      </c>
    </row>
    <row r="104" spans="1:12" x14ac:dyDescent="0.25">
      <c r="A104" s="25">
        <v>101</v>
      </c>
      <c r="B104" s="25">
        <v>101</v>
      </c>
      <c r="C104" s="25" t="str">
        <f>INDEX(cursoDisciplina!$A$4:$F$112,MATCH(disciplinaGrade!B104,cursoDisciplina!$A$4:$A$112,0),MATCH(cursoDisciplina!$C$4,cursoDisciplina!$A$4:$F$4,0))</f>
        <v>curso 6</v>
      </c>
      <c r="D104" t="str">
        <f>INDEX(cursoDisciplina!$A$4:$F$112,MATCH(disciplinaGrade!B104,cursoDisciplina!$A$4:$A$112,0),MATCH(cursoDisciplina!$E$4,cursoDisciplina!$A$4:$F$4,0))</f>
        <v>Disciplina 18</v>
      </c>
      <c r="E104" t="s">
        <v>11</v>
      </c>
      <c r="F104" t="s">
        <v>10</v>
      </c>
      <c r="G104" s="25" t="s">
        <v>43</v>
      </c>
      <c r="H104" s="25" t="s">
        <v>43</v>
      </c>
      <c r="I104" s="25" t="s">
        <v>43</v>
      </c>
      <c r="J104" s="25" t="s">
        <v>43</v>
      </c>
      <c r="K104" s="25" t="s">
        <v>43</v>
      </c>
      <c r="L104" s="25" t="s">
        <v>43</v>
      </c>
    </row>
    <row r="105" spans="1:12" x14ac:dyDescent="0.25">
      <c r="A105" s="25">
        <v>102</v>
      </c>
      <c r="B105" s="25">
        <v>102</v>
      </c>
      <c r="C105" s="25" t="str">
        <f>INDEX(cursoDisciplina!$A$4:$F$112,MATCH(disciplinaGrade!B105,cursoDisciplina!$A$4:$A$112,0),MATCH(cursoDisciplina!$C$4,cursoDisciplina!$A$4:$F$4,0))</f>
        <v>curso 6</v>
      </c>
      <c r="D105" t="str">
        <f>INDEX(cursoDisciplina!$A$4:$F$112,MATCH(disciplinaGrade!B105,cursoDisciplina!$A$4:$A$112,0),MATCH(cursoDisciplina!$E$4,cursoDisciplina!$A$4:$F$4,0))</f>
        <v>Disciplina 19</v>
      </c>
      <c r="E105" t="s">
        <v>11</v>
      </c>
      <c r="F105" t="s">
        <v>10</v>
      </c>
      <c r="G105" s="25" t="s">
        <v>43</v>
      </c>
      <c r="H105" s="25" t="s">
        <v>43</v>
      </c>
      <c r="I105" s="25" t="s">
        <v>43</v>
      </c>
      <c r="J105" s="25" t="s">
        <v>43</v>
      </c>
      <c r="K105" s="25" t="s">
        <v>43</v>
      </c>
      <c r="L105" s="25" t="s">
        <v>43</v>
      </c>
    </row>
    <row r="106" spans="1:12" x14ac:dyDescent="0.25">
      <c r="A106" s="25">
        <v>103</v>
      </c>
      <c r="B106" s="25">
        <v>103</v>
      </c>
      <c r="C106" s="25" t="str">
        <f>INDEX(cursoDisciplina!$A$4:$F$112,MATCH(disciplinaGrade!B106,cursoDisciplina!$A$4:$A$112,0),MATCH(cursoDisciplina!$C$4,cursoDisciplina!$A$4:$F$4,0))</f>
        <v>curso 6</v>
      </c>
      <c r="D106" t="str">
        <f>INDEX(cursoDisciplina!$A$4:$F$112,MATCH(disciplinaGrade!B106,cursoDisciplina!$A$4:$A$112,0),MATCH(cursoDisciplina!$E$4,cursoDisciplina!$A$4:$F$4,0))</f>
        <v>Disciplina 20</v>
      </c>
      <c r="E106" t="s">
        <v>11</v>
      </c>
      <c r="F106" t="s">
        <v>10</v>
      </c>
      <c r="G106" s="25" t="s">
        <v>43</v>
      </c>
      <c r="H106" s="25" t="s">
        <v>43</v>
      </c>
      <c r="I106" s="25" t="s">
        <v>43</v>
      </c>
      <c r="J106" s="25" t="s">
        <v>43</v>
      </c>
      <c r="K106" s="25" t="s">
        <v>43</v>
      </c>
      <c r="L106" s="25" t="s">
        <v>43</v>
      </c>
    </row>
    <row r="107" spans="1:12" x14ac:dyDescent="0.25">
      <c r="A107" s="25">
        <v>104</v>
      </c>
      <c r="B107" s="25">
        <v>104</v>
      </c>
      <c r="C107" s="25" t="str">
        <f>INDEX(cursoDisciplina!$A$4:$F$112,MATCH(disciplinaGrade!B107,cursoDisciplina!$A$4:$A$112,0),MATCH(cursoDisciplina!$C$4,cursoDisciplina!$A$4:$F$4,0))</f>
        <v>curso 6</v>
      </c>
      <c r="D107" t="str">
        <f>INDEX(cursoDisciplina!$A$4:$F$112,MATCH(disciplinaGrade!B107,cursoDisciplina!$A$4:$A$112,0),MATCH(cursoDisciplina!$E$4,cursoDisciplina!$A$4:$F$4,0))</f>
        <v>Disciplina 21</v>
      </c>
      <c r="E107" t="s">
        <v>11</v>
      </c>
      <c r="F107" t="s">
        <v>10</v>
      </c>
      <c r="G107" s="25" t="s">
        <v>43</v>
      </c>
      <c r="H107" s="25" t="s">
        <v>43</v>
      </c>
      <c r="I107" s="25" t="s">
        <v>43</v>
      </c>
      <c r="J107" s="25" t="s">
        <v>43</v>
      </c>
      <c r="K107" s="25" t="s">
        <v>43</v>
      </c>
      <c r="L107" s="25" t="s">
        <v>43</v>
      </c>
    </row>
    <row r="108" spans="1:12" x14ac:dyDescent="0.25">
      <c r="A108" s="25">
        <v>105</v>
      </c>
      <c r="B108" s="25">
        <v>105</v>
      </c>
      <c r="C108" s="25" t="str">
        <f>INDEX(cursoDisciplina!$A$4:$F$112,MATCH(disciplinaGrade!B108,cursoDisciplina!$A$4:$A$112,0),MATCH(cursoDisciplina!$C$4,cursoDisciplina!$A$4:$F$4,0))</f>
        <v>curso 6</v>
      </c>
      <c r="D108" t="str">
        <f>INDEX(cursoDisciplina!$A$4:$F$112,MATCH(disciplinaGrade!B108,cursoDisciplina!$A$4:$A$112,0),MATCH(cursoDisciplina!$E$4,cursoDisciplina!$A$4:$F$4,0))</f>
        <v>Disciplina 22</v>
      </c>
      <c r="E108" t="s">
        <v>11</v>
      </c>
      <c r="F108" t="s">
        <v>10</v>
      </c>
      <c r="G108" s="25" t="s">
        <v>43</v>
      </c>
      <c r="H108" s="25" t="s">
        <v>43</v>
      </c>
      <c r="I108" s="25" t="s">
        <v>43</v>
      </c>
      <c r="J108" s="25" t="s">
        <v>43</v>
      </c>
      <c r="K108" s="25" t="s">
        <v>43</v>
      </c>
      <c r="L108" s="25" t="s">
        <v>43</v>
      </c>
    </row>
    <row r="109" spans="1:12" x14ac:dyDescent="0.25">
      <c r="A109" s="25">
        <v>106</v>
      </c>
      <c r="B109" s="25">
        <v>106</v>
      </c>
      <c r="C109" s="25" t="str">
        <f>INDEX(cursoDisciplina!$A$4:$F$112,MATCH(disciplinaGrade!B109,cursoDisciplina!$A$4:$A$112,0),MATCH(cursoDisciplina!$C$4,cursoDisciplina!$A$4:$F$4,0))</f>
        <v>curso 6</v>
      </c>
      <c r="D109" t="str">
        <f>INDEX(cursoDisciplina!$A$4:$F$112,MATCH(disciplinaGrade!B109,cursoDisciplina!$A$4:$A$112,0),MATCH(cursoDisciplina!$E$4,cursoDisciplina!$A$4:$F$4,0))</f>
        <v>Disciplina 23</v>
      </c>
      <c r="E109" t="s">
        <v>11</v>
      </c>
      <c r="F109" t="s">
        <v>10</v>
      </c>
      <c r="G109" s="25" t="s">
        <v>43</v>
      </c>
      <c r="H109" s="25" t="s">
        <v>43</v>
      </c>
      <c r="I109" s="25" t="s">
        <v>43</v>
      </c>
      <c r="J109" s="25" t="s">
        <v>43</v>
      </c>
      <c r="K109" s="25" t="s">
        <v>43</v>
      </c>
      <c r="L109" s="25" t="s">
        <v>43</v>
      </c>
    </row>
    <row r="110" spans="1:12" x14ac:dyDescent="0.25">
      <c r="A110" s="25">
        <v>107</v>
      </c>
      <c r="B110" s="25">
        <v>107</v>
      </c>
      <c r="C110" s="25" t="str">
        <f>INDEX(cursoDisciplina!$A$4:$F$112,MATCH(disciplinaGrade!B110,cursoDisciplina!$A$4:$A$112,0),MATCH(cursoDisciplina!$C$4,cursoDisciplina!$A$4:$F$4,0))</f>
        <v>curso 6</v>
      </c>
      <c r="D110" t="str">
        <f>INDEX(cursoDisciplina!$A$4:$F$112,MATCH(disciplinaGrade!B110,cursoDisciplina!$A$4:$A$112,0),MATCH(cursoDisciplina!$E$4,cursoDisciplina!$A$4:$F$4,0))</f>
        <v>Disciplina 24</v>
      </c>
      <c r="E110" t="s">
        <v>11</v>
      </c>
      <c r="F110" t="s">
        <v>10</v>
      </c>
      <c r="G110" s="25" t="s">
        <v>43</v>
      </c>
      <c r="H110" s="25" t="s">
        <v>43</v>
      </c>
      <c r="I110" s="25" t="s">
        <v>43</v>
      </c>
      <c r="J110" s="25" t="s">
        <v>43</v>
      </c>
      <c r="K110" s="25" t="s">
        <v>43</v>
      </c>
      <c r="L110" s="25" t="s">
        <v>43</v>
      </c>
    </row>
    <row r="111" spans="1:12" x14ac:dyDescent="0.25">
      <c r="A111" s="25">
        <v>108</v>
      </c>
      <c r="B111" s="25">
        <v>108</v>
      </c>
      <c r="C111" s="25" t="str">
        <f>INDEX(cursoDisciplina!$A$4:$F$112,MATCH(disciplinaGrade!B111,cursoDisciplina!$A$4:$A$112,0),MATCH(cursoDisciplina!$C$4,cursoDisciplina!$A$4:$F$4,0))</f>
        <v>curso 6</v>
      </c>
      <c r="D111" t="str">
        <f>INDEX(cursoDisciplina!$A$4:$F$112,MATCH(disciplinaGrade!B111,cursoDisciplina!$A$4:$A$112,0),MATCH(cursoDisciplina!$E$4,cursoDisciplina!$A$4:$F$4,0))</f>
        <v>Disciplina 25</v>
      </c>
      <c r="E111" t="s">
        <v>11</v>
      </c>
      <c r="F111" t="s">
        <v>10</v>
      </c>
      <c r="G111" s="25" t="s">
        <v>43</v>
      </c>
      <c r="H111" s="25" t="s">
        <v>43</v>
      </c>
      <c r="I111" s="25" t="s">
        <v>43</v>
      </c>
      <c r="J111" s="25" t="s">
        <v>43</v>
      </c>
      <c r="K111" s="25" t="s">
        <v>43</v>
      </c>
      <c r="L111" s="25" t="s">
        <v>43</v>
      </c>
    </row>
    <row r="112" spans="1:12" x14ac:dyDescent="0.25">
      <c r="A112" s="25">
        <v>109</v>
      </c>
      <c r="B112" s="25">
        <v>1</v>
      </c>
      <c r="C112" s="25" t="str">
        <f>INDEX(cursoDisciplina!$A$4:$F$112,MATCH(disciplinaGrade!B112,cursoDisciplina!$A$4:$A$112,0),MATCH(cursoDisciplina!$C$4,cursoDisciplina!$A$4:$F$4,0))</f>
        <v>ADS</v>
      </c>
      <c r="D112" t="str">
        <f>INDEX(cursoDisciplina!$A$4:$F$112,MATCH(disciplinaGrade!B112,cursoDisciplina!$A$4:$A$112,0),MATCH(cursoDisciplina!$E$4,cursoDisciplina!$A$4:$F$4,0))</f>
        <v>laboratóeio de engenharia de Software</v>
      </c>
      <c r="E112" t="s">
        <v>11</v>
      </c>
      <c r="F112" t="s">
        <v>10</v>
      </c>
      <c r="G112" s="25" t="s">
        <v>43</v>
      </c>
      <c r="H112" s="25" t="s">
        <v>43</v>
      </c>
      <c r="I112" s="25" t="s">
        <v>43</v>
      </c>
      <c r="J112" s="25" t="s">
        <v>43</v>
      </c>
      <c r="K112" s="25" t="s">
        <v>43</v>
      </c>
      <c r="L112" s="25" t="s">
        <v>43</v>
      </c>
    </row>
    <row r="113" spans="1:12" x14ac:dyDescent="0.25">
      <c r="A113" s="25">
        <v>110</v>
      </c>
      <c r="B113" s="25">
        <v>2</v>
      </c>
      <c r="C113" s="25" t="str">
        <f>INDEX(cursoDisciplina!$A$4:$F$112,MATCH(disciplinaGrade!B113,cursoDisciplina!$A$4:$A$112,0),MATCH(cursoDisciplina!$C$4,cursoDisciplina!$A$4:$F$4,0))</f>
        <v>ADS</v>
      </c>
      <c r="D113" t="str">
        <f>INDEX(cursoDisciplina!$A$4:$F$112,MATCH(disciplinaGrade!B113,cursoDisciplina!$A$4:$A$112,0),MATCH(cursoDisciplina!$E$4,cursoDisciplina!$A$4:$F$4,0))</f>
        <v>Estrutura de Dados</v>
      </c>
      <c r="E113" t="s">
        <v>11</v>
      </c>
      <c r="F113" t="s">
        <v>10</v>
      </c>
      <c r="G113" s="25" t="s">
        <v>43</v>
      </c>
      <c r="H113" s="25" t="s">
        <v>43</v>
      </c>
      <c r="I113" s="25" t="s">
        <v>43</v>
      </c>
      <c r="J113" s="25" t="s">
        <v>43</v>
      </c>
      <c r="K113" s="25" t="s">
        <v>43</v>
      </c>
      <c r="L113" s="25" t="s">
        <v>43</v>
      </c>
    </row>
    <row r="114" spans="1:12" x14ac:dyDescent="0.25">
      <c r="A114" s="25">
        <v>111</v>
      </c>
      <c r="B114" s="25">
        <v>3</v>
      </c>
      <c r="C114" s="25" t="str">
        <f>INDEX(cursoDisciplina!$A$4:$F$112,MATCH(disciplinaGrade!B114,cursoDisciplina!$A$4:$A$112,0),MATCH(cursoDisciplina!$C$4,cursoDisciplina!$A$4:$F$4,0))</f>
        <v>ADS</v>
      </c>
      <c r="D114" t="str">
        <f>INDEX(cursoDisciplina!$A$4:$F$112,MATCH(disciplinaGrade!B114,cursoDisciplina!$A$4:$A$112,0),MATCH(cursoDisciplina!$E$4,cursoDisciplina!$A$4:$F$4,0))</f>
        <v>PEM</v>
      </c>
      <c r="E114" t="s">
        <v>11</v>
      </c>
      <c r="F114" t="s">
        <v>10</v>
      </c>
      <c r="G114" s="25" t="s">
        <v>43</v>
      </c>
      <c r="H114" s="25" t="s">
        <v>43</v>
      </c>
      <c r="I114" s="25" t="s">
        <v>43</v>
      </c>
      <c r="J114" s="25" t="s">
        <v>43</v>
      </c>
      <c r="K114" s="25" t="s">
        <v>43</v>
      </c>
      <c r="L114" s="25" t="s">
        <v>43</v>
      </c>
    </row>
    <row r="115" spans="1:12" x14ac:dyDescent="0.25">
      <c r="A115" s="25">
        <v>112</v>
      </c>
      <c r="B115" s="25">
        <v>4</v>
      </c>
      <c r="C115" s="25" t="str">
        <f>INDEX(cursoDisciplina!$A$4:$F$112,MATCH(disciplinaGrade!B115,cursoDisciplina!$A$4:$A$112,0),MATCH(cursoDisciplina!$C$4,cursoDisciplina!$A$4:$F$4,0))</f>
        <v>BigData</v>
      </c>
      <c r="D115" t="str">
        <f>INDEX(cursoDisciplina!$A$4:$F$112,MATCH(disciplinaGrade!B115,cursoDisciplina!$A$4:$A$112,0),MATCH(cursoDisciplina!$E$4,cursoDisciplina!$A$4:$F$4,0))</f>
        <v>Estrutura de Dados</v>
      </c>
      <c r="E115" t="s">
        <v>11</v>
      </c>
      <c r="F115" t="s">
        <v>10</v>
      </c>
      <c r="G115" s="25" t="s">
        <v>43</v>
      </c>
      <c r="H115" s="25" t="s">
        <v>43</v>
      </c>
      <c r="I115" s="25" t="s">
        <v>43</v>
      </c>
      <c r="J115" s="25" t="s">
        <v>43</v>
      </c>
      <c r="K115" s="25" t="s">
        <v>43</v>
      </c>
      <c r="L115" s="25" t="s">
        <v>43</v>
      </c>
    </row>
    <row r="116" spans="1:12" x14ac:dyDescent="0.25">
      <c r="A116" s="25">
        <v>113</v>
      </c>
      <c r="B116" s="25">
        <v>5</v>
      </c>
      <c r="C116" s="25" t="str">
        <f>INDEX(cursoDisciplina!$A$4:$F$112,MATCH(disciplinaGrade!B116,cursoDisciplina!$A$4:$A$112,0),MATCH(cursoDisciplina!$C$4,cursoDisciplina!$A$4:$F$4,0))</f>
        <v>ADS</v>
      </c>
      <c r="D116" t="str">
        <f>INDEX(cursoDisciplina!$A$4:$F$112,MATCH(disciplinaGrade!B116,cursoDisciplina!$A$4:$A$112,0),MATCH(cursoDisciplina!$E$4,cursoDisciplina!$A$4:$F$4,0))</f>
        <v>Disciplina 5</v>
      </c>
      <c r="E116" t="s">
        <v>11</v>
      </c>
      <c r="F116" t="s">
        <v>10</v>
      </c>
      <c r="G116" s="25" t="s">
        <v>43</v>
      </c>
      <c r="H116" s="25" t="s">
        <v>43</v>
      </c>
      <c r="I116" s="25" t="s">
        <v>43</v>
      </c>
      <c r="J116" s="25" t="s">
        <v>43</v>
      </c>
      <c r="K116" s="25" t="s">
        <v>43</v>
      </c>
      <c r="L116" s="25" t="s">
        <v>43</v>
      </c>
    </row>
    <row r="117" spans="1:12" x14ac:dyDescent="0.25">
      <c r="A117" s="25">
        <v>114</v>
      </c>
      <c r="B117" s="25">
        <v>6</v>
      </c>
      <c r="C117" s="25" t="str">
        <f>INDEX(cursoDisciplina!$A$4:$F$112,MATCH(disciplinaGrade!B117,cursoDisciplina!$A$4:$A$112,0),MATCH(cursoDisciplina!$C$4,cursoDisciplina!$A$4:$F$4,0))</f>
        <v>ADS</v>
      </c>
      <c r="D117" t="str">
        <f>INDEX(cursoDisciplina!$A$4:$F$112,MATCH(disciplinaGrade!B117,cursoDisciplina!$A$4:$A$112,0),MATCH(cursoDisciplina!$E$4,cursoDisciplina!$A$4:$F$4,0))</f>
        <v>Disciplina 6</v>
      </c>
      <c r="E117" t="s">
        <v>11</v>
      </c>
      <c r="F117" t="s">
        <v>10</v>
      </c>
      <c r="G117" s="25" t="s">
        <v>43</v>
      </c>
      <c r="H117" s="25" t="s">
        <v>43</v>
      </c>
      <c r="I117" s="25" t="s">
        <v>43</v>
      </c>
      <c r="J117" s="25" t="s">
        <v>43</v>
      </c>
      <c r="K117" s="25" t="s">
        <v>43</v>
      </c>
      <c r="L117" s="25" t="s">
        <v>43</v>
      </c>
    </row>
    <row r="118" spans="1:12" x14ac:dyDescent="0.25">
      <c r="A118" s="25">
        <v>115</v>
      </c>
      <c r="B118" s="25">
        <v>7</v>
      </c>
      <c r="C118" s="25" t="str">
        <f>INDEX(cursoDisciplina!$A$4:$F$112,MATCH(disciplinaGrade!B118,cursoDisciplina!$A$4:$A$112,0),MATCH(cursoDisciplina!$C$4,cursoDisciplina!$A$4:$F$4,0))</f>
        <v>ADS</v>
      </c>
      <c r="D118" t="str">
        <f>INDEX(cursoDisciplina!$A$4:$F$112,MATCH(disciplinaGrade!B118,cursoDisciplina!$A$4:$A$112,0),MATCH(cursoDisciplina!$E$4,cursoDisciplina!$A$4:$F$4,0))</f>
        <v>Disciplina 7</v>
      </c>
      <c r="E118" t="s">
        <v>11</v>
      </c>
      <c r="F118" t="s">
        <v>10</v>
      </c>
      <c r="G118" s="25" t="s">
        <v>43</v>
      </c>
      <c r="H118" s="25" t="s">
        <v>43</v>
      </c>
      <c r="I118" s="25" t="s">
        <v>43</v>
      </c>
      <c r="J118" s="25" t="s">
        <v>43</v>
      </c>
      <c r="K118" s="25" t="s">
        <v>43</v>
      </c>
      <c r="L118" s="25" t="s">
        <v>43</v>
      </c>
    </row>
    <row r="119" spans="1:12" x14ac:dyDescent="0.25">
      <c r="A119" s="25">
        <v>116</v>
      </c>
      <c r="B119" s="25">
        <v>8</v>
      </c>
      <c r="C119" s="25" t="str">
        <f>INDEX(cursoDisciplina!$A$4:$F$112,MATCH(disciplinaGrade!B119,cursoDisciplina!$A$4:$A$112,0),MATCH(cursoDisciplina!$C$4,cursoDisciplina!$A$4:$F$4,0))</f>
        <v>ADS</v>
      </c>
      <c r="D119" t="str">
        <f>INDEX(cursoDisciplina!$A$4:$F$112,MATCH(disciplinaGrade!B119,cursoDisciplina!$A$4:$A$112,0),MATCH(cursoDisciplina!$E$4,cursoDisciplina!$A$4:$F$4,0))</f>
        <v>Disciplina 8</v>
      </c>
      <c r="E119" t="s">
        <v>11</v>
      </c>
      <c r="F119" t="s">
        <v>10</v>
      </c>
      <c r="G119" s="25" t="s">
        <v>43</v>
      </c>
      <c r="H119" s="25" t="s">
        <v>43</v>
      </c>
      <c r="I119" s="25" t="s">
        <v>43</v>
      </c>
      <c r="J119" s="25" t="s">
        <v>43</v>
      </c>
      <c r="K119" s="25" t="s">
        <v>43</v>
      </c>
      <c r="L119" s="25" t="s">
        <v>43</v>
      </c>
    </row>
    <row r="120" spans="1:12" x14ac:dyDescent="0.25">
      <c r="A120" s="25">
        <v>117</v>
      </c>
      <c r="B120" s="25">
        <v>9</v>
      </c>
      <c r="C120" s="25" t="str">
        <f>INDEX(cursoDisciplina!$A$4:$F$112,MATCH(disciplinaGrade!B120,cursoDisciplina!$A$4:$A$112,0),MATCH(cursoDisciplina!$C$4,cursoDisciplina!$A$4:$F$4,0))</f>
        <v>ADS</v>
      </c>
      <c r="D120" t="str">
        <f>INDEX(cursoDisciplina!$A$4:$F$112,MATCH(disciplinaGrade!B120,cursoDisciplina!$A$4:$A$112,0),MATCH(cursoDisciplina!$E$4,cursoDisciplina!$A$4:$F$4,0))</f>
        <v>Disciplina 9</v>
      </c>
      <c r="E120" t="s">
        <v>11</v>
      </c>
      <c r="F120" t="s">
        <v>10</v>
      </c>
      <c r="G120" s="25" t="s">
        <v>43</v>
      </c>
      <c r="H120" s="25" t="s">
        <v>43</v>
      </c>
      <c r="I120" s="25" t="s">
        <v>43</v>
      </c>
      <c r="J120" s="25" t="s">
        <v>43</v>
      </c>
      <c r="K120" s="25" t="s">
        <v>43</v>
      </c>
      <c r="L120" s="25" t="s">
        <v>43</v>
      </c>
    </row>
    <row r="121" spans="1:12" x14ac:dyDescent="0.25">
      <c r="A121" s="25">
        <v>118</v>
      </c>
      <c r="B121" s="25">
        <v>10</v>
      </c>
      <c r="C121" s="25" t="str">
        <f>INDEX(cursoDisciplina!$A$4:$F$112,MATCH(disciplinaGrade!B121,cursoDisciplina!$A$4:$A$112,0),MATCH(cursoDisciplina!$C$4,cursoDisciplina!$A$4:$F$4,0))</f>
        <v>ADS</v>
      </c>
      <c r="D121" t="str">
        <f>INDEX(cursoDisciplina!$A$4:$F$112,MATCH(disciplinaGrade!B121,cursoDisciplina!$A$4:$A$112,0),MATCH(cursoDisciplina!$E$4,cursoDisciplina!$A$4:$F$4,0))</f>
        <v>Disciplina 10</v>
      </c>
      <c r="E121" t="s">
        <v>11</v>
      </c>
      <c r="F121" t="s">
        <v>10</v>
      </c>
      <c r="G121" s="25" t="s">
        <v>43</v>
      </c>
      <c r="H121" s="25" t="s">
        <v>43</v>
      </c>
      <c r="I121" s="25" t="s">
        <v>43</v>
      </c>
      <c r="J121" s="25" t="s">
        <v>43</v>
      </c>
      <c r="K121" s="25" t="s">
        <v>43</v>
      </c>
      <c r="L121" s="25" t="s">
        <v>43</v>
      </c>
    </row>
    <row r="122" spans="1:12" x14ac:dyDescent="0.25">
      <c r="A122" s="25">
        <v>119</v>
      </c>
      <c r="B122" s="25">
        <v>11</v>
      </c>
      <c r="C122" s="25" t="str">
        <f>INDEX(cursoDisciplina!$A$4:$F$112,MATCH(disciplinaGrade!B122,cursoDisciplina!$A$4:$A$112,0),MATCH(cursoDisciplina!$C$4,cursoDisciplina!$A$4:$F$4,0))</f>
        <v>ADS</v>
      </c>
      <c r="D122" t="str">
        <f>INDEX(cursoDisciplina!$A$4:$F$112,MATCH(disciplinaGrade!B122,cursoDisciplina!$A$4:$A$112,0),MATCH(cursoDisciplina!$E$4,cursoDisciplina!$A$4:$F$4,0))</f>
        <v>Disciplina 11</v>
      </c>
      <c r="E122" t="s">
        <v>11</v>
      </c>
      <c r="F122" t="s">
        <v>10</v>
      </c>
      <c r="G122" s="25" t="s">
        <v>43</v>
      </c>
      <c r="H122" s="25" t="s">
        <v>43</v>
      </c>
      <c r="I122" s="25" t="s">
        <v>43</v>
      </c>
      <c r="J122" s="25" t="s">
        <v>43</v>
      </c>
      <c r="K122" s="25" t="s">
        <v>43</v>
      </c>
      <c r="L122" s="25" t="s">
        <v>43</v>
      </c>
    </row>
    <row r="123" spans="1:12" x14ac:dyDescent="0.25">
      <c r="A123" s="25">
        <v>120</v>
      </c>
      <c r="B123" s="25">
        <v>12</v>
      </c>
      <c r="C123" s="25" t="str">
        <f>INDEX(cursoDisciplina!$A$4:$F$112,MATCH(disciplinaGrade!B123,cursoDisciplina!$A$4:$A$112,0),MATCH(cursoDisciplina!$C$4,cursoDisciplina!$A$4:$F$4,0))</f>
        <v>ADS</v>
      </c>
      <c r="D123" t="str">
        <f>INDEX(cursoDisciplina!$A$4:$F$112,MATCH(disciplinaGrade!B123,cursoDisciplina!$A$4:$A$112,0),MATCH(cursoDisciplina!$E$4,cursoDisciplina!$A$4:$F$4,0))</f>
        <v>Disciplina 12</v>
      </c>
      <c r="E123" t="s">
        <v>11</v>
      </c>
      <c r="F123" t="s">
        <v>10</v>
      </c>
      <c r="G123" s="25" t="s">
        <v>43</v>
      </c>
      <c r="H123" s="25" t="s">
        <v>43</v>
      </c>
      <c r="I123" s="25" t="s">
        <v>43</v>
      </c>
      <c r="J123" s="25" t="s">
        <v>43</v>
      </c>
      <c r="K123" s="25" t="s">
        <v>43</v>
      </c>
      <c r="L123" s="25" t="s">
        <v>43</v>
      </c>
    </row>
    <row r="124" spans="1:12" x14ac:dyDescent="0.25">
      <c r="A124" s="25">
        <v>121</v>
      </c>
      <c r="B124" s="25">
        <v>13</v>
      </c>
      <c r="C124" s="25" t="str">
        <f>INDEX(cursoDisciplina!$A$4:$F$112,MATCH(disciplinaGrade!B124,cursoDisciplina!$A$4:$A$112,0),MATCH(cursoDisciplina!$C$4,cursoDisciplina!$A$4:$F$4,0))</f>
        <v>ADS</v>
      </c>
      <c r="D124" t="str">
        <f>INDEX(cursoDisciplina!$A$4:$F$112,MATCH(disciplinaGrade!B124,cursoDisciplina!$A$4:$A$112,0),MATCH(cursoDisciplina!$E$4,cursoDisciplina!$A$4:$F$4,0))</f>
        <v>Disciplina 13</v>
      </c>
      <c r="E124" t="s">
        <v>11</v>
      </c>
      <c r="F124" t="s">
        <v>10</v>
      </c>
      <c r="G124" s="25" t="s">
        <v>43</v>
      </c>
      <c r="H124" s="25" t="s">
        <v>43</v>
      </c>
      <c r="I124" s="25" t="s">
        <v>43</v>
      </c>
      <c r="J124" s="25" t="s">
        <v>43</v>
      </c>
      <c r="K124" s="25" t="s">
        <v>43</v>
      </c>
      <c r="L124" s="25" t="s">
        <v>43</v>
      </c>
    </row>
    <row r="125" spans="1:12" x14ac:dyDescent="0.25">
      <c r="A125" s="25">
        <v>122</v>
      </c>
      <c r="B125" s="25">
        <v>14</v>
      </c>
      <c r="C125" s="25" t="str">
        <f>INDEX(cursoDisciplina!$A$4:$F$112,MATCH(disciplinaGrade!B125,cursoDisciplina!$A$4:$A$112,0),MATCH(cursoDisciplina!$C$4,cursoDisciplina!$A$4:$F$4,0))</f>
        <v>ADS</v>
      </c>
      <c r="D125" t="str">
        <f>INDEX(cursoDisciplina!$A$4:$F$112,MATCH(disciplinaGrade!B125,cursoDisciplina!$A$4:$A$112,0),MATCH(cursoDisciplina!$E$4,cursoDisciplina!$A$4:$F$4,0))</f>
        <v>Disciplina 14</v>
      </c>
      <c r="E125" t="s">
        <v>11</v>
      </c>
      <c r="F125" t="s">
        <v>10</v>
      </c>
      <c r="G125" s="25" t="s">
        <v>43</v>
      </c>
      <c r="H125" s="25" t="s">
        <v>43</v>
      </c>
      <c r="I125" s="25" t="s">
        <v>43</v>
      </c>
      <c r="J125" s="25" t="s">
        <v>43</v>
      </c>
      <c r="K125" s="25" t="s">
        <v>43</v>
      </c>
      <c r="L125" s="25" t="s">
        <v>43</v>
      </c>
    </row>
    <row r="126" spans="1:12" x14ac:dyDescent="0.25">
      <c r="A126" s="25">
        <v>123</v>
      </c>
      <c r="B126" s="25">
        <v>15</v>
      </c>
      <c r="C126" s="25" t="str">
        <f>INDEX(cursoDisciplina!$A$4:$F$112,MATCH(disciplinaGrade!B126,cursoDisciplina!$A$4:$A$112,0),MATCH(cursoDisciplina!$C$4,cursoDisciplina!$A$4:$F$4,0))</f>
        <v>ADS</v>
      </c>
      <c r="D126" t="str">
        <f>INDEX(cursoDisciplina!$A$4:$F$112,MATCH(disciplinaGrade!B126,cursoDisciplina!$A$4:$A$112,0),MATCH(cursoDisciplina!$E$4,cursoDisciplina!$A$4:$F$4,0))</f>
        <v>Disciplina 15</v>
      </c>
      <c r="E126" t="s">
        <v>11</v>
      </c>
      <c r="F126" t="s">
        <v>10</v>
      </c>
      <c r="G126" s="25" t="s">
        <v>43</v>
      </c>
      <c r="H126" s="25" t="s">
        <v>43</v>
      </c>
      <c r="I126" s="25" t="s">
        <v>43</v>
      </c>
      <c r="J126" s="25" t="s">
        <v>43</v>
      </c>
      <c r="K126" s="25" t="s">
        <v>43</v>
      </c>
      <c r="L126" s="25" t="s">
        <v>43</v>
      </c>
    </row>
    <row r="127" spans="1:12" x14ac:dyDescent="0.25">
      <c r="A127" s="25">
        <v>124</v>
      </c>
      <c r="B127" s="25">
        <v>16</v>
      </c>
      <c r="C127" s="25" t="str">
        <f>INDEX(cursoDisciplina!$A$4:$F$112,MATCH(disciplinaGrade!B127,cursoDisciplina!$A$4:$A$112,0),MATCH(cursoDisciplina!$C$4,cursoDisciplina!$A$4:$F$4,0))</f>
        <v>BigData</v>
      </c>
      <c r="D127" t="str">
        <f>INDEX(cursoDisciplina!$A$4:$F$112,MATCH(disciplinaGrade!B127,cursoDisciplina!$A$4:$A$112,0),MATCH(cursoDisciplina!$E$4,cursoDisciplina!$A$4:$F$4,0))</f>
        <v>laboratóeio de engenharia de Software</v>
      </c>
      <c r="E127" t="s">
        <v>11</v>
      </c>
      <c r="F127" t="s">
        <v>10</v>
      </c>
      <c r="G127" s="25" t="s">
        <v>43</v>
      </c>
      <c r="H127" s="25" t="s">
        <v>43</v>
      </c>
      <c r="I127" s="25" t="s">
        <v>43</v>
      </c>
      <c r="J127" s="25" t="s">
        <v>43</v>
      </c>
      <c r="K127" s="25" t="s">
        <v>43</v>
      </c>
      <c r="L127" s="25" t="s">
        <v>43</v>
      </c>
    </row>
    <row r="128" spans="1:12" x14ac:dyDescent="0.25">
      <c r="A128" s="25">
        <v>125</v>
      </c>
      <c r="B128" s="25">
        <v>17</v>
      </c>
      <c r="C128" s="25" t="str">
        <f>INDEX(cursoDisciplina!$A$4:$F$112,MATCH(disciplinaGrade!B128,cursoDisciplina!$A$4:$A$112,0),MATCH(cursoDisciplina!$C$4,cursoDisciplina!$A$4:$F$4,0))</f>
        <v>BigData</v>
      </c>
      <c r="D128" t="str">
        <f>INDEX(cursoDisciplina!$A$4:$F$112,MATCH(disciplinaGrade!B128,cursoDisciplina!$A$4:$A$112,0),MATCH(cursoDisciplina!$E$4,cursoDisciplina!$A$4:$F$4,0))</f>
        <v>Estrutura de Dados</v>
      </c>
      <c r="E128" t="s">
        <v>11</v>
      </c>
      <c r="F128" t="s">
        <v>10</v>
      </c>
      <c r="G128" s="25" t="s">
        <v>43</v>
      </c>
      <c r="H128" s="25" t="s">
        <v>43</v>
      </c>
      <c r="I128" s="25" t="s">
        <v>43</v>
      </c>
      <c r="J128" s="25" t="s">
        <v>43</v>
      </c>
      <c r="K128" s="25" t="s">
        <v>43</v>
      </c>
      <c r="L128" s="25" t="s">
        <v>43</v>
      </c>
    </row>
    <row r="129" spans="1:12" x14ac:dyDescent="0.25">
      <c r="A129" s="25">
        <v>126</v>
      </c>
      <c r="B129" s="25">
        <v>18</v>
      </c>
      <c r="C129" s="25" t="str">
        <f>INDEX(cursoDisciplina!$A$4:$F$112,MATCH(disciplinaGrade!B129,cursoDisciplina!$A$4:$A$112,0),MATCH(cursoDisciplina!$C$4,cursoDisciplina!$A$4:$F$4,0))</f>
        <v>BigData</v>
      </c>
      <c r="D129" t="str">
        <f>INDEX(cursoDisciplina!$A$4:$F$112,MATCH(disciplinaGrade!B129,cursoDisciplina!$A$4:$A$112,0),MATCH(cursoDisciplina!$E$4,cursoDisciplina!$A$4:$F$4,0))</f>
        <v>PEM</v>
      </c>
      <c r="E129" t="s">
        <v>11</v>
      </c>
      <c r="F129" t="s">
        <v>10</v>
      </c>
      <c r="G129" s="25" t="s">
        <v>43</v>
      </c>
      <c r="H129" s="25" t="s">
        <v>43</v>
      </c>
      <c r="I129" s="25" t="s">
        <v>43</v>
      </c>
      <c r="J129" s="25" t="s">
        <v>43</v>
      </c>
      <c r="K129" s="25" t="s">
        <v>43</v>
      </c>
      <c r="L129" s="25" t="s">
        <v>43</v>
      </c>
    </row>
    <row r="130" spans="1:12" x14ac:dyDescent="0.25">
      <c r="A130" s="25">
        <v>127</v>
      </c>
      <c r="B130" s="25">
        <v>19</v>
      </c>
      <c r="C130" s="25" t="str">
        <f>INDEX(cursoDisciplina!$A$4:$F$112,MATCH(disciplinaGrade!B130,cursoDisciplina!$A$4:$A$112,0),MATCH(cursoDisciplina!$C$4,cursoDisciplina!$A$4:$F$4,0))</f>
        <v>BigData</v>
      </c>
      <c r="D130" t="str">
        <f>INDEX(cursoDisciplina!$A$4:$F$112,MATCH(disciplinaGrade!B130,cursoDisciplina!$A$4:$A$112,0),MATCH(cursoDisciplina!$E$4,cursoDisciplina!$A$4:$F$4,0))</f>
        <v>Disciplina 4</v>
      </c>
      <c r="E130" t="s">
        <v>11</v>
      </c>
      <c r="F130" t="s">
        <v>10</v>
      </c>
      <c r="G130" s="25" t="s">
        <v>43</v>
      </c>
      <c r="H130" s="25" t="s">
        <v>43</v>
      </c>
      <c r="I130" s="25" t="s">
        <v>43</v>
      </c>
      <c r="J130" s="25" t="s">
        <v>43</v>
      </c>
      <c r="K130" s="25" t="s">
        <v>43</v>
      </c>
      <c r="L130" s="25" t="s">
        <v>43</v>
      </c>
    </row>
    <row r="131" spans="1:12" x14ac:dyDescent="0.25">
      <c r="A131" s="25">
        <v>128</v>
      </c>
      <c r="B131" s="25">
        <v>20</v>
      </c>
      <c r="C131" s="25" t="str">
        <f>INDEX(cursoDisciplina!$A$4:$F$112,MATCH(disciplinaGrade!B131,cursoDisciplina!$A$4:$A$112,0),MATCH(cursoDisciplina!$C$4,cursoDisciplina!$A$4:$F$4,0))</f>
        <v>BigData</v>
      </c>
      <c r="D131" t="str">
        <f>INDEX(cursoDisciplina!$A$4:$F$112,MATCH(disciplinaGrade!B131,cursoDisciplina!$A$4:$A$112,0),MATCH(cursoDisciplina!$E$4,cursoDisciplina!$A$4:$F$4,0))</f>
        <v>Disciplina 5</v>
      </c>
      <c r="E131" t="s">
        <v>11</v>
      </c>
      <c r="F131" t="s">
        <v>10</v>
      </c>
      <c r="G131" s="25" t="s">
        <v>43</v>
      </c>
      <c r="H131" s="25" t="s">
        <v>43</v>
      </c>
      <c r="I131" s="25" t="s">
        <v>43</v>
      </c>
      <c r="J131" s="25" t="s">
        <v>43</v>
      </c>
      <c r="K131" s="25" t="s">
        <v>43</v>
      </c>
      <c r="L131" s="25" t="s">
        <v>43</v>
      </c>
    </row>
    <row r="132" spans="1:12" x14ac:dyDescent="0.25">
      <c r="A132" s="25">
        <v>129</v>
      </c>
      <c r="B132" s="25">
        <v>21</v>
      </c>
      <c r="C132" s="25" t="str">
        <f>INDEX(cursoDisciplina!$A$4:$F$112,MATCH(disciplinaGrade!B132,cursoDisciplina!$A$4:$A$112,0),MATCH(cursoDisciplina!$C$4,cursoDisciplina!$A$4:$F$4,0))</f>
        <v>BigData</v>
      </c>
      <c r="D132" t="str">
        <f>INDEX(cursoDisciplina!$A$4:$F$112,MATCH(disciplinaGrade!B132,cursoDisciplina!$A$4:$A$112,0),MATCH(cursoDisciplina!$E$4,cursoDisciplina!$A$4:$F$4,0))</f>
        <v>Disciplina 6</v>
      </c>
      <c r="E132" t="s">
        <v>11</v>
      </c>
      <c r="F132" t="s">
        <v>10</v>
      </c>
      <c r="G132" s="25" t="s">
        <v>43</v>
      </c>
      <c r="H132" s="25" t="s">
        <v>43</v>
      </c>
      <c r="I132" s="25" t="s">
        <v>43</v>
      </c>
      <c r="J132" s="25" t="s">
        <v>43</v>
      </c>
      <c r="K132" s="25" t="s">
        <v>43</v>
      </c>
      <c r="L132" s="25" t="s">
        <v>43</v>
      </c>
    </row>
    <row r="133" spans="1:12" x14ac:dyDescent="0.25">
      <c r="A133" s="25">
        <v>130</v>
      </c>
      <c r="B133" s="25">
        <v>22</v>
      </c>
      <c r="C133" s="25" t="str">
        <f>INDEX(cursoDisciplina!$A$4:$F$112,MATCH(disciplinaGrade!B133,cursoDisciplina!$A$4:$A$112,0),MATCH(cursoDisciplina!$C$4,cursoDisciplina!$A$4:$F$4,0))</f>
        <v>BigData</v>
      </c>
      <c r="D133" t="str">
        <f>INDEX(cursoDisciplina!$A$4:$F$112,MATCH(disciplinaGrade!B133,cursoDisciplina!$A$4:$A$112,0),MATCH(cursoDisciplina!$E$4,cursoDisciplina!$A$4:$F$4,0))</f>
        <v>Disciplina 7</v>
      </c>
      <c r="E133" t="s">
        <v>11</v>
      </c>
      <c r="F133" t="s">
        <v>10</v>
      </c>
      <c r="G133" s="25" t="s">
        <v>43</v>
      </c>
      <c r="H133" s="25" t="s">
        <v>43</v>
      </c>
      <c r="I133" s="25" t="s">
        <v>43</v>
      </c>
      <c r="J133" s="25" t="s">
        <v>43</v>
      </c>
      <c r="K133" s="25" t="s">
        <v>43</v>
      </c>
      <c r="L133" s="25" t="s">
        <v>43</v>
      </c>
    </row>
    <row r="134" spans="1:12" x14ac:dyDescent="0.25">
      <c r="A134" s="25">
        <v>131</v>
      </c>
      <c r="B134" s="25">
        <v>23</v>
      </c>
      <c r="C134" s="25" t="str">
        <f>INDEX(cursoDisciplina!$A$4:$F$112,MATCH(disciplinaGrade!B134,cursoDisciplina!$A$4:$A$112,0),MATCH(cursoDisciplina!$C$4,cursoDisciplina!$A$4:$F$4,0))</f>
        <v>BigData</v>
      </c>
      <c r="D134" t="str">
        <f>INDEX(cursoDisciplina!$A$4:$F$112,MATCH(disciplinaGrade!B134,cursoDisciplina!$A$4:$A$112,0),MATCH(cursoDisciplina!$E$4,cursoDisciplina!$A$4:$F$4,0))</f>
        <v>Disciplina 8</v>
      </c>
      <c r="E134" t="s">
        <v>11</v>
      </c>
      <c r="F134" t="s">
        <v>10</v>
      </c>
      <c r="G134" s="25" t="s">
        <v>43</v>
      </c>
      <c r="H134" s="25" t="s">
        <v>43</v>
      </c>
      <c r="I134" s="25" t="s">
        <v>43</v>
      </c>
      <c r="J134" s="25" t="s">
        <v>43</v>
      </c>
      <c r="K134" s="25" t="s">
        <v>43</v>
      </c>
      <c r="L134" s="25" t="s">
        <v>43</v>
      </c>
    </row>
    <row r="135" spans="1:12" x14ac:dyDescent="0.25">
      <c r="A135" s="25">
        <v>132</v>
      </c>
      <c r="B135" s="25">
        <v>24</v>
      </c>
      <c r="C135" s="25" t="str">
        <f>INDEX(cursoDisciplina!$A$4:$F$112,MATCH(disciplinaGrade!B135,cursoDisciplina!$A$4:$A$112,0),MATCH(cursoDisciplina!$C$4,cursoDisciplina!$A$4:$F$4,0))</f>
        <v>BigData</v>
      </c>
      <c r="D135" t="str">
        <f>INDEX(cursoDisciplina!$A$4:$F$112,MATCH(disciplinaGrade!B135,cursoDisciplina!$A$4:$A$112,0),MATCH(cursoDisciplina!$E$4,cursoDisciplina!$A$4:$F$4,0))</f>
        <v>Disciplina 9</v>
      </c>
      <c r="E135" t="s">
        <v>11</v>
      </c>
      <c r="F135" t="s">
        <v>10</v>
      </c>
      <c r="G135" s="25" t="s">
        <v>43</v>
      </c>
      <c r="H135" s="25" t="s">
        <v>43</v>
      </c>
      <c r="I135" s="25" t="s">
        <v>43</v>
      </c>
      <c r="J135" s="25" t="s">
        <v>43</v>
      </c>
      <c r="K135" s="25" t="s">
        <v>43</v>
      </c>
      <c r="L135" s="25" t="s">
        <v>43</v>
      </c>
    </row>
    <row r="136" spans="1:12" x14ac:dyDescent="0.25">
      <c r="A136" s="25">
        <v>133</v>
      </c>
      <c r="B136" s="25">
        <v>25</v>
      </c>
      <c r="C136" s="25" t="str">
        <f>INDEX(cursoDisciplina!$A$4:$F$112,MATCH(disciplinaGrade!B136,cursoDisciplina!$A$4:$A$112,0),MATCH(cursoDisciplina!$C$4,cursoDisciplina!$A$4:$F$4,0))</f>
        <v>BigData</v>
      </c>
      <c r="D136" t="str">
        <f>INDEX(cursoDisciplina!$A$4:$F$112,MATCH(disciplinaGrade!B136,cursoDisciplina!$A$4:$A$112,0),MATCH(cursoDisciplina!$E$4,cursoDisciplina!$A$4:$F$4,0))</f>
        <v>Disciplina 10</v>
      </c>
      <c r="E136" t="s">
        <v>11</v>
      </c>
      <c r="F136" t="s">
        <v>10</v>
      </c>
      <c r="G136" s="25" t="s">
        <v>43</v>
      </c>
      <c r="H136" s="25" t="s">
        <v>43</v>
      </c>
      <c r="I136" s="25" t="s">
        <v>43</v>
      </c>
      <c r="J136" s="25" t="s">
        <v>43</v>
      </c>
      <c r="K136" s="25" t="s">
        <v>43</v>
      </c>
      <c r="L136" s="25" t="s">
        <v>43</v>
      </c>
    </row>
    <row r="137" spans="1:12" x14ac:dyDescent="0.25">
      <c r="A137" s="25">
        <v>134</v>
      </c>
      <c r="B137" s="25">
        <v>26</v>
      </c>
      <c r="C137" s="25" t="str">
        <f>INDEX(cursoDisciplina!$A$4:$F$112,MATCH(disciplinaGrade!B137,cursoDisciplina!$A$4:$A$112,0),MATCH(cursoDisciplina!$C$4,cursoDisciplina!$A$4:$F$4,0))</f>
        <v>BigData</v>
      </c>
      <c r="D137" t="str">
        <f>INDEX(cursoDisciplina!$A$4:$F$112,MATCH(disciplinaGrade!B137,cursoDisciplina!$A$4:$A$112,0),MATCH(cursoDisciplina!$E$4,cursoDisciplina!$A$4:$F$4,0))</f>
        <v>Disciplina 11</v>
      </c>
      <c r="E137" t="s">
        <v>11</v>
      </c>
      <c r="F137" t="s">
        <v>10</v>
      </c>
      <c r="G137" s="25" t="s">
        <v>43</v>
      </c>
      <c r="H137" s="25" t="s">
        <v>43</v>
      </c>
      <c r="I137" s="25" t="s">
        <v>43</v>
      </c>
      <c r="J137" s="25" t="s">
        <v>43</v>
      </c>
      <c r="K137" s="25" t="s">
        <v>43</v>
      </c>
      <c r="L137" s="25" t="s">
        <v>43</v>
      </c>
    </row>
    <row r="138" spans="1:12" x14ac:dyDescent="0.25">
      <c r="A138" s="25">
        <v>135</v>
      </c>
      <c r="B138" s="25">
        <v>27</v>
      </c>
      <c r="C138" s="25" t="str">
        <f>INDEX(cursoDisciplina!$A$4:$F$112,MATCH(disciplinaGrade!B138,cursoDisciplina!$A$4:$A$112,0),MATCH(cursoDisciplina!$C$4,cursoDisciplina!$A$4:$F$4,0))</f>
        <v>BigData</v>
      </c>
      <c r="D138" t="str">
        <f>INDEX(cursoDisciplina!$A$4:$F$112,MATCH(disciplinaGrade!B138,cursoDisciplina!$A$4:$A$112,0),MATCH(cursoDisciplina!$E$4,cursoDisciplina!$A$4:$F$4,0))</f>
        <v>Disciplina 12</v>
      </c>
      <c r="E138" t="s">
        <v>11</v>
      </c>
      <c r="F138" t="s">
        <v>10</v>
      </c>
      <c r="G138" s="25" t="s">
        <v>43</v>
      </c>
      <c r="H138" s="25" t="s">
        <v>43</v>
      </c>
      <c r="I138" s="25" t="s">
        <v>43</v>
      </c>
      <c r="J138" s="25" t="s">
        <v>43</v>
      </c>
      <c r="K138" s="25" t="s">
        <v>43</v>
      </c>
      <c r="L138" s="25" t="s">
        <v>43</v>
      </c>
    </row>
    <row r="139" spans="1:12" x14ac:dyDescent="0.25">
      <c r="A139" s="25">
        <v>136</v>
      </c>
      <c r="B139" s="25">
        <v>28</v>
      </c>
      <c r="C139" s="25" t="str">
        <f>INDEX(cursoDisciplina!$A$4:$F$112,MATCH(disciplinaGrade!B139,cursoDisciplina!$A$4:$A$112,0),MATCH(cursoDisciplina!$C$4,cursoDisciplina!$A$4:$F$4,0))</f>
        <v>BigData</v>
      </c>
      <c r="D139" t="str">
        <f>INDEX(cursoDisciplina!$A$4:$F$112,MATCH(disciplinaGrade!B139,cursoDisciplina!$A$4:$A$112,0),MATCH(cursoDisciplina!$E$4,cursoDisciplina!$A$4:$F$4,0))</f>
        <v>Disciplina 13</v>
      </c>
      <c r="E139" t="s">
        <v>11</v>
      </c>
      <c r="F139" t="s">
        <v>10</v>
      </c>
      <c r="G139" s="25" t="s">
        <v>43</v>
      </c>
      <c r="H139" s="25" t="s">
        <v>43</v>
      </c>
      <c r="I139" s="25" t="s">
        <v>43</v>
      </c>
      <c r="J139" s="25" t="s">
        <v>43</v>
      </c>
      <c r="K139" s="25" t="s">
        <v>43</v>
      </c>
      <c r="L139" s="25" t="s">
        <v>43</v>
      </c>
    </row>
    <row r="140" spans="1:12" x14ac:dyDescent="0.25">
      <c r="A140" s="25">
        <v>137</v>
      </c>
      <c r="B140" s="25">
        <v>29</v>
      </c>
      <c r="C140" s="25" t="str">
        <f>INDEX(cursoDisciplina!$A$4:$F$112,MATCH(disciplinaGrade!B140,cursoDisciplina!$A$4:$A$112,0),MATCH(cursoDisciplina!$C$4,cursoDisciplina!$A$4:$F$4,0))</f>
        <v>BigData</v>
      </c>
      <c r="D140" t="str">
        <f>INDEX(cursoDisciplina!$A$4:$F$112,MATCH(disciplinaGrade!B140,cursoDisciplina!$A$4:$A$112,0),MATCH(cursoDisciplina!$E$4,cursoDisciplina!$A$4:$F$4,0))</f>
        <v>Disciplina 14</v>
      </c>
      <c r="E140" t="s">
        <v>11</v>
      </c>
      <c r="F140" t="s">
        <v>10</v>
      </c>
      <c r="G140" s="25" t="s">
        <v>43</v>
      </c>
      <c r="H140" s="25" t="s">
        <v>43</v>
      </c>
      <c r="I140" s="25" t="s">
        <v>43</v>
      </c>
      <c r="J140" s="25" t="s">
        <v>43</v>
      </c>
      <c r="K140" s="25" t="s">
        <v>43</v>
      </c>
      <c r="L140" s="25" t="s">
        <v>43</v>
      </c>
    </row>
    <row r="141" spans="1:12" x14ac:dyDescent="0.25">
      <c r="A141" s="25">
        <v>138</v>
      </c>
      <c r="B141" s="25">
        <v>30</v>
      </c>
      <c r="C141" s="25" t="str">
        <f>INDEX(cursoDisciplina!$A$4:$F$112,MATCH(disciplinaGrade!B141,cursoDisciplina!$A$4:$A$112,0),MATCH(cursoDisciplina!$C$4,cursoDisciplina!$A$4:$F$4,0))</f>
        <v>curso 3</v>
      </c>
      <c r="D141" t="str">
        <f>INDEX(cursoDisciplina!$A$4:$F$112,MATCH(disciplinaGrade!B141,cursoDisciplina!$A$4:$A$112,0),MATCH(cursoDisciplina!$E$4,cursoDisciplina!$A$4:$F$4,0))</f>
        <v>laboratóeio de engenharia de Software</v>
      </c>
      <c r="E141" t="s">
        <v>11</v>
      </c>
      <c r="F141" t="s">
        <v>10</v>
      </c>
      <c r="G141" s="25" t="s">
        <v>43</v>
      </c>
      <c r="H141" s="25" t="s">
        <v>43</v>
      </c>
      <c r="I141" s="25" t="s">
        <v>43</v>
      </c>
      <c r="J141" s="25" t="s">
        <v>43</v>
      </c>
      <c r="K141" s="25" t="s">
        <v>43</v>
      </c>
      <c r="L141" s="25" t="s">
        <v>43</v>
      </c>
    </row>
    <row r="142" spans="1:12" x14ac:dyDescent="0.25">
      <c r="A142" s="25">
        <v>139</v>
      </c>
      <c r="B142" s="25">
        <v>31</v>
      </c>
      <c r="C142" s="25" t="str">
        <f>INDEX(cursoDisciplina!$A$4:$F$112,MATCH(disciplinaGrade!B142,cursoDisciplina!$A$4:$A$112,0),MATCH(cursoDisciplina!$C$4,cursoDisciplina!$A$4:$F$4,0))</f>
        <v>curso 3</v>
      </c>
      <c r="D142" t="str">
        <f>INDEX(cursoDisciplina!$A$4:$F$112,MATCH(disciplinaGrade!B142,cursoDisciplina!$A$4:$A$112,0),MATCH(cursoDisciplina!$E$4,cursoDisciplina!$A$4:$F$4,0))</f>
        <v>Estrutura de Dados</v>
      </c>
      <c r="E142" t="s">
        <v>11</v>
      </c>
      <c r="F142" t="s">
        <v>10</v>
      </c>
      <c r="G142" s="25" t="s">
        <v>43</v>
      </c>
      <c r="H142" s="25" t="s">
        <v>43</v>
      </c>
      <c r="I142" s="25" t="s">
        <v>43</v>
      </c>
      <c r="J142" s="25" t="s">
        <v>43</v>
      </c>
      <c r="K142" s="25" t="s">
        <v>43</v>
      </c>
      <c r="L142" s="25" t="s">
        <v>43</v>
      </c>
    </row>
    <row r="143" spans="1:12" x14ac:dyDescent="0.25">
      <c r="A143" s="25">
        <v>140</v>
      </c>
      <c r="B143" s="25">
        <v>32</v>
      </c>
      <c r="C143" s="25" t="str">
        <f>INDEX(cursoDisciplina!$A$4:$F$112,MATCH(disciplinaGrade!B143,cursoDisciplina!$A$4:$A$112,0),MATCH(cursoDisciplina!$C$4,cursoDisciplina!$A$4:$F$4,0))</f>
        <v>curso 3</v>
      </c>
      <c r="D143" t="str">
        <f>INDEX(cursoDisciplina!$A$4:$F$112,MATCH(disciplinaGrade!B143,cursoDisciplina!$A$4:$A$112,0),MATCH(cursoDisciplina!$E$4,cursoDisciplina!$A$4:$F$4,0))</f>
        <v>PEM</v>
      </c>
      <c r="E143" t="s">
        <v>11</v>
      </c>
      <c r="F143" t="s">
        <v>10</v>
      </c>
      <c r="G143" s="25" t="s">
        <v>43</v>
      </c>
      <c r="H143" s="25" t="s">
        <v>43</v>
      </c>
      <c r="I143" s="25" t="s">
        <v>43</v>
      </c>
      <c r="J143" s="25" t="s">
        <v>43</v>
      </c>
      <c r="K143" s="25" t="s">
        <v>43</v>
      </c>
      <c r="L143" s="25" t="s">
        <v>43</v>
      </c>
    </row>
    <row r="144" spans="1:12" x14ac:dyDescent="0.25">
      <c r="A144" s="25">
        <v>141</v>
      </c>
      <c r="B144" s="25">
        <v>33</v>
      </c>
      <c r="C144" s="25" t="str">
        <f>INDEX(cursoDisciplina!$A$4:$F$112,MATCH(disciplinaGrade!B144,cursoDisciplina!$A$4:$A$112,0),MATCH(cursoDisciplina!$C$4,cursoDisciplina!$A$4:$F$4,0))</f>
        <v>curso 3</v>
      </c>
      <c r="D144" t="str">
        <f>INDEX(cursoDisciplina!$A$4:$F$112,MATCH(disciplinaGrade!B144,cursoDisciplina!$A$4:$A$112,0),MATCH(cursoDisciplina!$E$4,cursoDisciplina!$A$4:$F$4,0))</f>
        <v>Disciplina 4</v>
      </c>
      <c r="E144" t="s">
        <v>11</v>
      </c>
      <c r="F144" t="s">
        <v>10</v>
      </c>
      <c r="G144" s="25" t="s">
        <v>43</v>
      </c>
      <c r="H144" s="25" t="s">
        <v>43</v>
      </c>
      <c r="I144" s="25" t="s">
        <v>43</v>
      </c>
      <c r="J144" s="25" t="s">
        <v>43</v>
      </c>
      <c r="K144" s="25" t="s">
        <v>43</v>
      </c>
      <c r="L144" s="25" t="s">
        <v>43</v>
      </c>
    </row>
    <row r="145" spans="1:12" x14ac:dyDescent="0.25">
      <c r="A145" s="25">
        <v>142</v>
      </c>
      <c r="B145" s="25">
        <v>34</v>
      </c>
      <c r="C145" s="25" t="str">
        <f>INDEX(cursoDisciplina!$A$4:$F$112,MATCH(disciplinaGrade!B145,cursoDisciplina!$A$4:$A$112,0),MATCH(cursoDisciplina!$C$4,cursoDisciplina!$A$4:$F$4,0))</f>
        <v>curso 3</v>
      </c>
      <c r="D145" t="str">
        <f>INDEX(cursoDisciplina!$A$4:$F$112,MATCH(disciplinaGrade!B145,cursoDisciplina!$A$4:$A$112,0),MATCH(cursoDisciplina!$E$4,cursoDisciplina!$A$4:$F$4,0))</f>
        <v>Disciplina 5</v>
      </c>
      <c r="E145" t="s">
        <v>11</v>
      </c>
      <c r="F145" t="s">
        <v>10</v>
      </c>
      <c r="G145" s="25" t="s">
        <v>43</v>
      </c>
      <c r="H145" s="25" t="s">
        <v>43</v>
      </c>
      <c r="I145" s="25" t="s">
        <v>43</v>
      </c>
      <c r="J145" s="25" t="s">
        <v>43</v>
      </c>
      <c r="K145" s="25" t="s">
        <v>43</v>
      </c>
      <c r="L145" s="25" t="s">
        <v>43</v>
      </c>
    </row>
    <row r="146" spans="1:12" x14ac:dyDescent="0.25">
      <c r="A146" s="25">
        <v>143</v>
      </c>
      <c r="B146" s="25">
        <v>35</v>
      </c>
      <c r="C146" s="25" t="str">
        <f>INDEX(cursoDisciplina!$A$4:$F$112,MATCH(disciplinaGrade!B146,cursoDisciplina!$A$4:$A$112,0),MATCH(cursoDisciplina!$C$4,cursoDisciplina!$A$4:$F$4,0))</f>
        <v>curso 3</v>
      </c>
      <c r="D146" t="str">
        <f>INDEX(cursoDisciplina!$A$4:$F$112,MATCH(disciplinaGrade!B146,cursoDisciplina!$A$4:$A$112,0),MATCH(cursoDisciplina!$E$4,cursoDisciplina!$A$4:$F$4,0))</f>
        <v>Disciplina 6</v>
      </c>
      <c r="E146" t="s">
        <v>11</v>
      </c>
      <c r="F146" t="s">
        <v>10</v>
      </c>
      <c r="G146" s="25" t="s">
        <v>43</v>
      </c>
      <c r="H146" s="25" t="s">
        <v>43</v>
      </c>
      <c r="I146" s="25" t="s">
        <v>43</v>
      </c>
      <c r="J146" s="25" t="s">
        <v>43</v>
      </c>
      <c r="K146" s="25" t="s">
        <v>43</v>
      </c>
      <c r="L146" s="25" t="s">
        <v>43</v>
      </c>
    </row>
    <row r="147" spans="1:12" x14ac:dyDescent="0.25">
      <c r="A147" s="25">
        <v>144</v>
      </c>
      <c r="B147" s="25">
        <v>36</v>
      </c>
      <c r="C147" s="25" t="str">
        <f>INDEX(cursoDisciplina!$A$4:$F$112,MATCH(disciplinaGrade!B147,cursoDisciplina!$A$4:$A$112,0),MATCH(cursoDisciplina!$C$4,cursoDisciplina!$A$4:$F$4,0))</f>
        <v>curso 3</v>
      </c>
      <c r="D147" t="str">
        <f>INDEX(cursoDisciplina!$A$4:$F$112,MATCH(disciplinaGrade!B147,cursoDisciplina!$A$4:$A$112,0),MATCH(cursoDisciplina!$E$4,cursoDisciplina!$A$4:$F$4,0))</f>
        <v>Disciplina 7</v>
      </c>
      <c r="E147" t="s">
        <v>11</v>
      </c>
      <c r="F147" t="s">
        <v>10</v>
      </c>
      <c r="G147" s="25" t="s">
        <v>43</v>
      </c>
      <c r="H147" s="25" t="s">
        <v>43</v>
      </c>
      <c r="I147" s="25" t="s">
        <v>43</v>
      </c>
      <c r="J147" s="25" t="s">
        <v>43</v>
      </c>
      <c r="K147" s="25" t="s">
        <v>43</v>
      </c>
      <c r="L147" s="25" t="s">
        <v>43</v>
      </c>
    </row>
    <row r="148" spans="1:12" x14ac:dyDescent="0.25">
      <c r="A148" s="25">
        <v>145</v>
      </c>
      <c r="B148" s="25">
        <v>37</v>
      </c>
      <c r="C148" s="25" t="str">
        <f>INDEX(cursoDisciplina!$A$4:$F$112,MATCH(disciplinaGrade!B148,cursoDisciplina!$A$4:$A$112,0),MATCH(cursoDisciplina!$C$4,cursoDisciplina!$A$4:$F$4,0))</f>
        <v>curso 3</v>
      </c>
      <c r="D148" t="str">
        <f>INDEX(cursoDisciplina!$A$4:$F$112,MATCH(disciplinaGrade!B148,cursoDisciplina!$A$4:$A$112,0),MATCH(cursoDisciplina!$E$4,cursoDisciplina!$A$4:$F$4,0))</f>
        <v>Disciplina 8</v>
      </c>
      <c r="E148" t="s">
        <v>11</v>
      </c>
      <c r="F148" t="s">
        <v>10</v>
      </c>
      <c r="G148" s="25" t="s">
        <v>43</v>
      </c>
      <c r="H148" s="25" t="s">
        <v>43</v>
      </c>
      <c r="I148" s="25" t="s">
        <v>43</v>
      </c>
      <c r="J148" s="25" t="s">
        <v>43</v>
      </c>
      <c r="K148" s="25" t="s">
        <v>43</v>
      </c>
      <c r="L148" s="25" t="s">
        <v>43</v>
      </c>
    </row>
    <row r="149" spans="1:12" x14ac:dyDescent="0.25">
      <c r="A149" s="25">
        <v>146</v>
      </c>
      <c r="B149" s="25">
        <v>38</v>
      </c>
      <c r="C149" s="25" t="str">
        <f>INDEX(cursoDisciplina!$A$4:$F$112,MATCH(disciplinaGrade!B149,cursoDisciplina!$A$4:$A$112,0),MATCH(cursoDisciplina!$C$4,cursoDisciplina!$A$4:$F$4,0))</f>
        <v>curso 3</v>
      </c>
      <c r="D149" t="str">
        <f>INDEX(cursoDisciplina!$A$4:$F$112,MATCH(disciplinaGrade!B149,cursoDisciplina!$A$4:$A$112,0),MATCH(cursoDisciplina!$E$4,cursoDisciplina!$A$4:$F$4,0))</f>
        <v>Disciplina 9</v>
      </c>
      <c r="E149" t="s">
        <v>11</v>
      </c>
      <c r="F149" t="s">
        <v>10</v>
      </c>
      <c r="G149" s="25" t="s">
        <v>43</v>
      </c>
      <c r="H149" s="25" t="s">
        <v>43</v>
      </c>
      <c r="I149" s="25" t="s">
        <v>43</v>
      </c>
      <c r="J149" s="25" t="s">
        <v>43</v>
      </c>
      <c r="K149" s="25" t="s">
        <v>43</v>
      </c>
      <c r="L149" s="25" t="s">
        <v>43</v>
      </c>
    </row>
    <row r="150" spans="1:12" x14ac:dyDescent="0.25">
      <c r="A150" s="25">
        <v>147</v>
      </c>
      <c r="B150" s="25">
        <v>39</v>
      </c>
      <c r="C150" s="25" t="str">
        <f>INDEX(cursoDisciplina!$A$4:$F$112,MATCH(disciplinaGrade!B150,cursoDisciplina!$A$4:$A$112,0),MATCH(cursoDisciplina!$C$4,cursoDisciplina!$A$4:$F$4,0))</f>
        <v>curso 3</v>
      </c>
      <c r="D150" t="str">
        <f>INDEX(cursoDisciplina!$A$4:$F$112,MATCH(disciplinaGrade!B150,cursoDisciplina!$A$4:$A$112,0),MATCH(cursoDisciplina!$E$4,cursoDisciplina!$A$4:$F$4,0))</f>
        <v>Disciplina 10</v>
      </c>
      <c r="E150" t="s">
        <v>11</v>
      </c>
      <c r="F150" t="s">
        <v>10</v>
      </c>
      <c r="G150" s="25" t="s">
        <v>43</v>
      </c>
      <c r="H150" s="25" t="s">
        <v>43</v>
      </c>
      <c r="I150" s="25" t="s">
        <v>43</v>
      </c>
      <c r="J150" s="25" t="s">
        <v>43</v>
      </c>
      <c r="K150" s="25" t="s">
        <v>43</v>
      </c>
      <c r="L150" s="25" t="s">
        <v>43</v>
      </c>
    </row>
    <row r="151" spans="1:12" x14ac:dyDescent="0.25">
      <c r="A151" s="25">
        <v>148</v>
      </c>
      <c r="B151" s="25">
        <v>40</v>
      </c>
      <c r="C151" s="25" t="str">
        <f>INDEX(cursoDisciplina!$A$4:$F$112,MATCH(disciplinaGrade!B151,cursoDisciplina!$A$4:$A$112,0),MATCH(cursoDisciplina!$C$4,cursoDisciplina!$A$4:$F$4,0))</f>
        <v>curso 3</v>
      </c>
      <c r="D151" t="str">
        <f>INDEX(cursoDisciplina!$A$4:$F$112,MATCH(disciplinaGrade!B151,cursoDisciplina!$A$4:$A$112,0),MATCH(cursoDisciplina!$E$4,cursoDisciplina!$A$4:$F$4,0))</f>
        <v>Disciplina 11</v>
      </c>
      <c r="E151" t="s">
        <v>11</v>
      </c>
      <c r="F151" t="s">
        <v>10</v>
      </c>
      <c r="G151" s="25" t="s">
        <v>43</v>
      </c>
      <c r="H151" s="25" t="s">
        <v>43</v>
      </c>
      <c r="I151" s="25" t="s">
        <v>43</v>
      </c>
      <c r="J151" s="25" t="s">
        <v>43</v>
      </c>
      <c r="K151" s="25" t="s">
        <v>43</v>
      </c>
      <c r="L151" s="25" t="s">
        <v>43</v>
      </c>
    </row>
    <row r="152" spans="1:12" x14ac:dyDescent="0.25">
      <c r="A152" s="25">
        <v>149</v>
      </c>
      <c r="B152" s="25">
        <v>41</v>
      </c>
      <c r="C152" s="25" t="str">
        <f>INDEX(cursoDisciplina!$A$4:$F$112,MATCH(disciplinaGrade!B152,cursoDisciplina!$A$4:$A$112,0),MATCH(cursoDisciplina!$C$4,cursoDisciplina!$A$4:$F$4,0))</f>
        <v>curso 3</v>
      </c>
      <c r="D152" t="str">
        <f>INDEX(cursoDisciplina!$A$4:$F$112,MATCH(disciplinaGrade!B152,cursoDisciplina!$A$4:$A$112,0),MATCH(cursoDisciplina!$E$4,cursoDisciplina!$A$4:$F$4,0))</f>
        <v>Disciplina 12</v>
      </c>
      <c r="E152" t="s">
        <v>11</v>
      </c>
      <c r="F152" t="s">
        <v>10</v>
      </c>
      <c r="G152" s="25" t="s">
        <v>43</v>
      </c>
      <c r="H152" s="25" t="s">
        <v>43</v>
      </c>
      <c r="I152" s="25" t="s">
        <v>43</v>
      </c>
      <c r="J152" s="25" t="s">
        <v>43</v>
      </c>
      <c r="K152" s="25" t="s">
        <v>43</v>
      </c>
      <c r="L152" s="25" t="s">
        <v>43</v>
      </c>
    </row>
    <row r="153" spans="1:12" x14ac:dyDescent="0.25">
      <c r="A153" s="25">
        <v>150</v>
      </c>
      <c r="B153" s="25">
        <v>42</v>
      </c>
      <c r="C153" s="25" t="str">
        <f>INDEX(cursoDisciplina!$A$4:$F$112,MATCH(disciplinaGrade!B153,cursoDisciplina!$A$4:$A$112,0),MATCH(cursoDisciplina!$C$4,cursoDisciplina!$A$4:$F$4,0))</f>
        <v>curso 3</v>
      </c>
      <c r="D153" t="str">
        <f>INDEX(cursoDisciplina!$A$4:$F$112,MATCH(disciplinaGrade!B153,cursoDisciplina!$A$4:$A$112,0),MATCH(cursoDisciplina!$E$4,cursoDisciplina!$A$4:$F$4,0))</f>
        <v>Disciplina 13</v>
      </c>
      <c r="E153" t="s">
        <v>11</v>
      </c>
      <c r="F153" t="s">
        <v>10</v>
      </c>
      <c r="G153" s="25" t="s">
        <v>43</v>
      </c>
      <c r="H153" s="25" t="s">
        <v>43</v>
      </c>
      <c r="I153" s="25" t="s">
        <v>43</v>
      </c>
      <c r="J153" s="25" t="s">
        <v>43</v>
      </c>
      <c r="K153" s="25" t="s">
        <v>43</v>
      </c>
      <c r="L153" s="25" t="s">
        <v>43</v>
      </c>
    </row>
    <row r="154" spans="1:12" x14ac:dyDescent="0.25">
      <c r="A154" s="25">
        <v>151</v>
      </c>
      <c r="B154" s="25">
        <v>43</v>
      </c>
      <c r="C154" s="25" t="str">
        <f>INDEX(cursoDisciplina!$A$4:$F$112,MATCH(disciplinaGrade!B154,cursoDisciplina!$A$4:$A$112,0),MATCH(cursoDisciplina!$C$4,cursoDisciplina!$A$4:$F$4,0))</f>
        <v>curso 3</v>
      </c>
      <c r="D154" t="str">
        <f>INDEX(cursoDisciplina!$A$4:$F$112,MATCH(disciplinaGrade!B154,cursoDisciplina!$A$4:$A$112,0),MATCH(cursoDisciplina!$E$4,cursoDisciplina!$A$4:$F$4,0))</f>
        <v>Disciplina 14</v>
      </c>
      <c r="E154" t="s">
        <v>11</v>
      </c>
      <c r="F154" t="s">
        <v>10</v>
      </c>
      <c r="G154" s="25" t="s">
        <v>43</v>
      </c>
      <c r="H154" s="25" t="s">
        <v>43</v>
      </c>
      <c r="I154" s="25" t="s">
        <v>43</v>
      </c>
      <c r="J154" s="25" t="s">
        <v>43</v>
      </c>
      <c r="K154" s="25" t="s">
        <v>43</v>
      </c>
      <c r="L154" s="25" t="s">
        <v>43</v>
      </c>
    </row>
    <row r="155" spans="1:12" x14ac:dyDescent="0.25">
      <c r="A155" s="25">
        <v>152</v>
      </c>
      <c r="B155" s="25">
        <v>44</v>
      </c>
      <c r="C155" s="25" t="str">
        <f>INDEX(cursoDisciplina!$A$4:$F$112,MATCH(disciplinaGrade!B155,cursoDisciplina!$A$4:$A$112,0),MATCH(cursoDisciplina!$C$4,cursoDisciplina!$A$4:$F$4,0))</f>
        <v>curso 3</v>
      </c>
      <c r="D155" t="str">
        <f>INDEX(cursoDisciplina!$A$4:$F$112,MATCH(disciplinaGrade!B155,cursoDisciplina!$A$4:$A$112,0),MATCH(cursoDisciplina!$E$4,cursoDisciplina!$A$4:$F$4,0))</f>
        <v>Disciplina 15</v>
      </c>
      <c r="E155" t="s">
        <v>11</v>
      </c>
      <c r="F155" t="s">
        <v>10</v>
      </c>
      <c r="G155" s="25" t="s">
        <v>43</v>
      </c>
      <c r="H155" s="25" t="s">
        <v>43</v>
      </c>
      <c r="I155" s="25" t="s">
        <v>43</v>
      </c>
      <c r="J155" s="25" t="s">
        <v>43</v>
      </c>
      <c r="K155" s="25" t="s">
        <v>43</v>
      </c>
      <c r="L155" s="25" t="s">
        <v>43</v>
      </c>
    </row>
    <row r="156" spans="1:12" x14ac:dyDescent="0.25">
      <c r="A156" s="25">
        <v>153</v>
      </c>
      <c r="B156" s="25">
        <v>45</v>
      </c>
      <c r="C156" s="25" t="str">
        <f>INDEX(cursoDisciplina!$A$4:$F$112,MATCH(disciplinaGrade!B156,cursoDisciplina!$A$4:$A$112,0),MATCH(cursoDisciplina!$C$4,cursoDisciplina!$A$4:$F$4,0))</f>
        <v>curso 3</v>
      </c>
      <c r="D156" t="str">
        <f>INDEX(cursoDisciplina!$A$4:$F$112,MATCH(disciplinaGrade!B156,cursoDisciplina!$A$4:$A$112,0),MATCH(cursoDisciplina!$E$4,cursoDisciplina!$A$4:$F$4,0))</f>
        <v>Disciplina 16</v>
      </c>
      <c r="E156" t="s">
        <v>11</v>
      </c>
      <c r="F156" t="s">
        <v>10</v>
      </c>
      <c r="G156" s="25" t="s">
        <v>43</v>
      </c>
      <c r="H156" s="25" t="s">
        <v>43</v>
      </c>
      <c r="I156" s="25" t="s">
        <v>43</v>
      </c>
      <c r="J156" s="25" t="s">
        <v>43</v>
      </c>
      <c r="K156" s="25" t="s">
        <v>43</v>
      </c>
      <c r="L156" s="25" t="s">
        <v>43</v>
      </c>
    </row>
    <row r="157" spans="1:12" x14ac:dyDescent="0.25">
      <c r="A157" s="25">
        <v>154</v>
      </c>
      <c r="B157" s="25">
        <v>46</v>
      </c>
      <c r="C157" s="25" t="str">
        <f>INDEX(cursoDisciplina!$A$4:$F$112,MATCH(disciplinaGrade!B157,cursoDisciplina!$A$4:$A$112,0),MATCH(cursoDisciplina!$C$4,cursoDisciplina!$A$4:$F$4,0))</f>
        <v>curso 3</v>
      </c>
      <c r="D157" t="str">
        <f>INDEX(cursoDisciplina!$A$4:$F$112,MATCH(disciplinaGrade!B157,cursoDisciplina!$A$4:$A$112,0),MATCH(cursoDisciplina!$E$4,cursoDisciplina!$A$4:$F$4,0))</f>
        <v>Disciplina 17</v>
      </c>
      <c r="E157" t="s">
        <v>11</v>
      </c>
      <c r="F157" t="s">
        <v>10</v>
      </c>
      <c r="G157" s="25" t="s">
        <v>43</v>
      </c>
      <c r="H157" s="25" t="s">
        <v>43</v>
      </c>
      <c r="I157" s="25" t="s">
        <v>43</v>
      </c>
      <c r="J157" s="25" t="s">
        <v>43</v>
      </c>
      <c r="K157" s="25" t="s">
        <v>43</v>
      </c>
      <c r="L157" s="25" t="s">
        <v>43</v>
      </c>
    </row>
    <row r="158" spans="1:12" x14ac:dyDescent="0.25">
      <c r="A158" s="25">
        <v>155</v>
      </c>
      <c r="B158" s="25">
        <v>47</v>
      </c>
      <c r="C158" s="25" t="str">
        <f>INDEX(cursoDisciplina!$A$4:$F$112,MATCH(disciplinaGrade!B158,cursoDisciplina!$A$4:$A$112,0),MATCH(cursoDisciplina!$C$4,cursoDisciplina!$A$4:$F$4,0))</f>
        <v>curso 3</v>
      </c>
      <c r="D158" t="str">
        <f>INDEX(cursoDisciplina!$A$4:$F$112,MATCH(disciplinaGrade!B158,cursoDisciplina!$A$4:$A$112,0),MATCH(cursoDisciplina!$E$4,cursoDisciplina!$A$4:$F$4,0))</f>
        <v>Disciplina 18</v>
      </c>
      <c r="E158" t="s">
        <v>11</v>
      </c>
      <c r="F158" t="s">
        <v>10</v>
      </c>
      <c r="G158" s="25" t="s">
        <v>43</v>
      </c>
      <c r="H158" s="25" t="s">
        <v>43</v>
      </c>
      <c r="I158" s="25" t="s">
        <v>43</v>
      </c>
      <c r="J158" s="25" t="s">
        <v>43</v>
      </c>
      <c r="K158" s="25" t="s">
        <v>43</v>
      </c>
      <c r="L158" s="25" t="s">
        <v>43</v>
      </c>
    </row>
    <row r="159" spans="1:12" x14ac:dyDescent="0.25">
      <c r="A159" s="25">
        <v>156</v>
      </c>
      <c r="B159" s="25">
        <v>48</v>
      </c>
      <c r="C159" s="25" t="str">
        <f>INDEX(cursoDisciplina!$A$4:$F$112,MATCH(disciplinaGrade!B159,cursoDisciplina!$A$4:$A$112,0),MATCH(cursoDisciplina!$C$4,cursoDisciplina!$A$4:$F$4,0))</f>
        <v>curso 3</v>
      </c>
      <c r="D159" t="str">
        <f>INDEX(cursoDisciplina!$A$4:$F$112,MATCH(disciplinaGrade!B159,cursoDisciplina!$A$4:$A$112,0),MATCH(cursoDisciplina!$E$4,cursoDisciplina!$A$4:$F$4,0))</f>
        <v>Disciplina 19</v>
      </c>
      <c r="E159" t="s">
        <v>11</v>
      </c>
      <c r="F159" t="s">
        <v>10</v>
      </c>
      <c r="G159" s="25" t="s">
        <v>43</v>
      </c>
      <c r="H159" s="25" t="s">
        <v>43</v>
      </c>
      <c r="I159" s="25" t="s">
        <v>43</v>
      </c>
      <c r="J159" s="25" t="s">
        <v>43</v>
      </c>
      <c r="K159" s="25" t="s">
        <v>43</v>
      </c>
      <c r="L159" s="25" t="s">
        <v>43</v>
      </c>
    </row>
    <row r="160" spans="1:12" x14ac:dyDescent="0.25">
      <c r="A160" s="25">
        <v>157</v>
      </c>
      <c r="B160" s="25">
        <v>49</v>
      </c>
      <c r="C160" s="25" t="str">
        <f>INDEX(cursoDisciplina!$A$4:$F$112,MATCH(disciplinaGrade!B160,cursoDisciplina!$A$4:$A$112,0),MATCH(cursoDisciplina!$C$4,cursoDisciplina!$A$4:$F$4,0))</f>
        <v>curso 3</v>
      </c>
      <c r="D160" t="str">
        <f>INDEX(cursoDisciplina!$A$4:$F$112,MATCH(disciplinaGrade!B160,cursoDisciplina!$A$4:$A$112,0),MATCH(cursoDisciplina!$E$4,cursoDisciplina!$A$4:$F$4,0))</f>
        <v>Disciplina 20</v>
      </c>
      <c r="E160" t="s">
        <v>11</v>
      </c>
      <c r="F160" t="s">
        <v>10</v>
      </c>
      <c r="G160" s="25" t="s">
        <v>43</v>
      </c>
      <c r="H160" s="25" t="s">
        <v>43</v>
      </c>
      <c r="I160" s="25" t="s">
        <v>43</v>
      </c>
      <c r="J160" s="25" t="s">
        <v>43</v>
      </c>
      <c r="K160" s="25" t="s">
        <v>43</v>
      </c>
      <c r="L160" s="25" t="s">
        <v>43</v>
      </c>
    </row>
    <row r="161" spans="1:12" x14ac:dyDescent="0.25">
      <c r="A161" s="25">
        <v>158</v>
      </c>
      <c r="B161" s="25">
        <v>50</v>
      </c>
      <c r="C161" s="25" t="str">
        <f>INDEX(cursoDisciplina!$A$4:$F$112,MATCH(disciplinaGrade!B161,cursoDisciplina!$A$4:$A$112,0),MATCH(cursoDisciplina!$C$4,cursoDisciplina!$A$4:$F$4,0))</f>
        <v>curso 3</v>
      </c>
      <c r="D161" t="str">
        <f>INDEX(cursoDisciplina!$A$4:$F$112,MATCH(disciplinaGrade!B161,cursoDisciplina!$A$4:$A$112,0),MATCH(cursoDisciplina!$E$4,cursoDisciplina!$A$4:$F$4,0))</f>
        <v>Disciplina 21</v>
      </c>
      <c r="E161" t="s">
        <v>11</v>
      </c>
      <c r="F161" t="s">
        <v>10</v>
      </c>
      <c r="G161" s="25" t="s">
        <v>43</v>
      </c>
      <c r="H161" s="25" t="s">
        <v>43</v>
      </c>
      <c r="I161" s="25" t="s">
        <v>43</v>
      </c>
      <c r="J161" s="25" t="s">
        <v>43</v>
      </c>
      <c r="K161" s="25" t="s">
        <v>43</v>
      </c>
      <c r="L161" s="25" t="s">
        <v>43</v>
      </c>
    </row>
    <row r="162" spans="1:12" x14ac:dyDescent="0.25">
      <c r="A162" s="25">
        <v>159</v>
      </c>
      <c r="B162" s="25">
        <v>51</v>
      </c>
      <c r="C162" s="25" t="str">
        <f>INDEX(cursoDisciplina!$A$4:$F$112,MATCH(disciplinaGrade!B162,cursoDisciplina!$A$4:$A$112,0),MATCH(cursoDisciplina!$C$4,cursoDisciplina!$A$4:$F$4,0))</f>
        <v>curso 3</v>
      </c>
      <c r="D162" t="str">
        <f>INDEX(cursoDisciplina!$A$4:$F$112,MATCH(disciplinaGrade!B162,cursoDisciplina!$A$4:$A$112,0),MATCH(cursoDisciplina!$E$4,cursoDisciplina!$A$4:$F$4,0))</f>
        <v>Disciplina 22</v>
      </c>
      <c r="E162" t="s">
        <v>11</v>
      </c>
      <c r="F162" t="s">
        <v>10</v>
      </c>
      <c r="G162" s="25" t="s">
        <v>43</v>
      </c>
      <c r="H162" s="25" t="s">
        <v>43</v>
      </c>
      <c r="I162" s="25" t="s">
        <v>43</v>
      </c>
      <c r="J162" s="25" t="s">
        <v>43</v>
      </c>
      <c r="K162" s="25" t="s">
        <v>43</v>
      </c>
      <c r="L162" s="25" t="s">
        <v>43</v>
      </c>
    </row>
    <row r="163" spans="1:12" x14ac:dyDescent="0.25">
      <c r="A163" s="25">
        <v>160</v>
      </c>
      <c r="B163" s="25">
        <v>52</v>
      </c>
      <c r="C163" s="25" t="str">
        <f>INDEX(cursoDisciplina!$A$4:$F$112,MATCH(disciplinaGrade!B163,cursoDisciplina!$A$4:$A$112,0),MATCH(cursoDisciplina!$C$4,cursoDisciplina!$A$4:$F$4,0))</f>
        <v>curso 3</v>
      </c>
      <c r="D163" t="str">
        <f>INDEX(cursoDisciplina!$A$4:$F$112,MATCH(disciplinaGrade!B163,cursoDisciplina!$A$4:$A$112,0),MATCH(cursoDisciplina!$E$4,cursoDisciplina!$A$4:$F$4,0))</f>
        <v>Disciplina 23</v>
      </c>
      <c r="E163" t="s">
        <v>11</v>
      </c>
      <c r="F163" t="s">
        <v>10</v>
      </c>
      <c r="G163" s="25" t="s">
        <v>43</v>
      </c>
      <c r="H163" s="25" t="s">
        <v>43</v>
      </c>
      <c r="I163" s="25" t="s">
        <v>43</v>
      </c>
      <c r="J163" s="25" t="s">
        <v>43</v>
      </c>
      <c r="K163" s="25" t="s">
        <v>43</v>
      </c>
      <c r="L163" s="25" t="s">
        <v>43</v>
      </c>
    </row>
    <row r="164" spans="1:12" x14ac:dyDescent="0.25">
      <c r="A164" s="25">
        <v>161</v>
      </c>
      <c r="B164" s="25">
        <v>53</v>
      </c>
      <c r="C164" s="25" t="str">
        <f>INDEX(cursoDisciplina!$A$4:$F$112,MATCH(disciplinaGrade!B164,cursoDisciplina!$A$4:$A$112,0),MATCH(cursoDisciplina!$C$4,cursoDisciplina!$A$4:$F$4,0))</f>
        <v>curso 3</v>
      </c>
      <c r="D164" t="str">
        <f>INDEX(cursoDisciplina!$A$4:$F$112,MATCH(disciplinaGrade!B164,cursoDisciplina!$A$4:$A$112,0),MATCH(cursoDisciplina!$E$4,cursoDisciplina!$A$4:$F$4,0))</f>
        <v>Disciplina 24</v>
      </c>
      <c r="E164" t="s">
        <v>11</v>
      </c>
      <c r="F164" t="s">
        <v>10</v>
      </c>
      <c r="G164" s="25" t="s">
        <v>43</v>
      </c>
      <c r="H164" s="25" t="s">
        <v>43</v>
      </c>
      <c r="I164" s="25" t="s">
        <v>43</v>
      </c>
      <c r="J164" s="25" t="s">
        <v>43</v>
      </c>
      <c r="K164" s="25" t="s">
        <v>43</v>
      </c>
      <c r="L164" s="25" t="s">
        <v>43</v>
      </c>
    </row>
    <row r="165" spans="1:12" x14ac:dyDescent="0.25">
      <c r="A165" s="25">
        <v>162</v>
      </c>
      <c r="B165" s="25">
        <v>54</v>
      </c>
      <c r="C165" s="25" t="str">
        <f>INDEX(cursoDisciplina!$A$4:$F$112,MATCH(disciplinaGrade!B165,cursoDisciplina!$A$4:$A$112,0),MATCH(cursoDisciplina!$C$4,cursoDisciplina!$A$4:$F$4,0))</f>
        <v>curso 3</v>
      </c>
      <c r="D165" t="str">
        <f>INDEX(cursoDisciplina!$A$4:$F$112,MATCH(disciplinaGrade!B165,cursoDisciplina!$A$4:$A$112,0),MATCH(cursoDisciplina!$E$4,cursoDisciplina!$A$4:$F$4,0))</f>
        <v>Disciplina 25</v>
      </c>
      <c r="E165" t="s">
        <v>11</v>
      </c>
      <c r="F165" t="s">
        <v>10</v>
      </c>
      <c r="G165" s="25" t="s">
        <v>43</v>
      </c>
      <c r="H165" s="25" t="s">
        <v>43</v>
      </c>
      <c r="I165" s="25" t="s">
        <v>43</v>
      </c>
      <c r="J165" s="25" t="s">
        <v>43</v>
      </c>
      <c r="K165" s="25" t="s">
        <v>43</v>
      </c>
      <c r="L165" s="25" t="s">
        <v>43</v>
      </c>
    </row>
    <row r="166" spans="1:12" x14ac:dyDescent="0.25">
      <c r="A166" s="25">
        <v>163</v>
      </c>
      <c r="B166" s="25">
        <v>55</v>
      </c>
      <c r="C166" s="25" t="str">
        <f>INDEX(cursoDisciplina!$A$4:$F$112,MATCH(disciplinaGrade!B166,cursoDisciplina!$A$4:$A$112,0),MATCH(cursoDisciplina!$C$4,cursoDisciplina!$A$4:$F$4,0))</f>
        <v>curso 4</v>
      </c>
      <c r="D166" t="str">
        <f>INDEX(cursoDisciplina!$A$4:$F$112,MATCH(disciplinaGrade!B166,cursoDisciplina!$A$4:$A$112,0),MATCH(cursoDisciplina!$E$4,cursoDisciplina!$A$4:$F$4,0))</f>
        <v>laboratóeio de engenharia de Software</v>
      </c>
      <c r="E166" t="s">
        <v>11</v>
      </c>
      <c r="F166" t="s">
        <v>10</v>
      </c>
      <c r="G166" s="25" t="s">
        <v>43</v>
      </c>
      <c r="H166" s="25" t="s">
        <v>43</v>
      </c>
      <c r="I166" s="25" t="s">
        <v>43</v>
      </c>
      <c r="J166" s="25" t="s">
        <v>43</v>
      </c>
      <c r="K166" s="25" t="s">
        <v>43</v>
      </c>
      <c r="L166" s="25" t="s">
        <v>43</v>
      </c>
    </row>
    <row r="167" spans="1:12" x14ac:dyDescent="0.25">
      <c r="A167" s="25">
        <v>164</v>
      </c>
      <c r="B167" s="25">
        <v>56</v>
      </c>
      <c r="C167" s="25" t="str">
        <f>INDEX(cursoDisciplina!$A$4:$F$112,MATCH(disciplinaGrade!B167,cursoDisciplina!$A$4:$A$112,0),MATCH(cursoDisciplina!$C$4,cursoDisciplina!$A$4:$F$4,0))</f>
        <v>curso 4</v>
      </c>
      <c r="D167" t="str">
        <f>INDEX(cursoDisciplina!$A$4:$F$112,MATCH(disciplinaGrade!B167,cursoDisciplina!$A$4:$A$112,0),MATCH(cursoDisciplina!$E$4,cursoDisciplina!$A$4:$F$4,0))</f>
        <v>Estrutura de Dados</v>
      </c>
      <c r="E167" t="s">
        <v>11</v>
      </c>
      <c r="F167" t="s">
        <v>10</v>
      </c>
      <c r="G167" s="25" t="s">
        <v>43</v>
      </c>
      <c r="H167" s="25" t="s">
        <v>43</v>
      </c>
      <c r="I167" s="25" t="s">
        <v>43</v>
      </c>
      <c r="J167" s="25" t="s">
        <v>43</v>
      </c>
      <c r="K167" s="25" t="s">
        <v>43</v>
      </c>
      <c r="L167" s="25" t="s">
        <v>43</v>
      </c>
    </row>
    <row r="168" spans="1:12" x14ac:dyDescent="0.25">
      <c r="A168" s="25">
        <v>165</v>
      </c>
      <c r="B168" s="25">
        <v>57</v>
      </c>
      <c r="C168" s="25" t="str">
        <f>INDEX(cursoDisciplina!$A$4:$F$112,MATCH(disciplinaGrade!B168,cursoDisciplina!$A$4:$A$112,0),MATCH(cursoDisciplina!$C$4,cursoDisciplina!$A$4:$F$4,0))</f>
        <v>curso 4</v>
      </c>
      <c r="D168" t="str">
        <f>INDEX(cursoDisciplina!$A$4:$F$112,MATCH(disciplinaGrade!B168,cursoDisciplina!$A$4:$A$112,0),MATCH(cursoDisciplina!$E$4,cursoDisciplina!$A$4:$F$4,0))</f>
        <v>PEM</v>
      </c>
      <c r="E168" t="s">
        <v>11</v>
      </c>
      <c r="F168" t="s">
        <v>10</v>
      </c>
      <c r="G168" s="25" t="s">
        <v>43</v>
      </c>
      <c r="H168" s="25" t="s">
        <v>43</v>
      </c>
      <c r="I168" s="25" t="s">
        <v>43</v>
      </c>
      <c r="J168" s="25" t="s">
        <v>43</v>
      </c>
      <c r="K168" s="25" t="s">
        <v>43</v>
      </c>
      <c r="L168" s="25" t="s">
        <v>43</v>
      </c>
    </row>
    <row r="169" spans="1:12" x14ac:dyDescent="0.25">
      <c r="A169" s="25">
        <v>166</v>
      </c>
      <c r="B169" s="25">
        <v>58</v>
      </c>
      <c r="C169" s="25" t="str">
        <f>INDEX(cursoDisciplina!$A$4:$F$112,MATCH(disciplinaGrade!B169,cursoDisciplina!$A$4:$A$112,0),MATCH(cursoDisciplina!$C$4,cursoDisciplina!$A$4:$F$4,0))</f>
        <v>curso 4</v>
      </c>
      <c r="D169" t="str">
        <f>INDEX(cursoDisciplina!$A$4:$F$112,MATCH(disciplinaGrade!B169,cursoDisciplina!$A$4:$A$112,0),MATCH(cursoDisciplina!$E$4,cursoDisciplina!$A$4:$F$4,0))</f>
        <v>Disciplina 4</v>
      </c>
      <c r="E169" t="s">
        <v>11</v>
      </c>
      <c r="F169" t="s">
        <v>10</v>
      </c>
      <c r="G169" s="25" t="s">
        <v>43</v>
      </c>
      <c r="H169" s="25" t="s">
        <v>43</v>
      </c>
      <c r="I169" s="25" t="s">
        <v>43</v>
      </c>
      <c r="J169" s="25" t="s">
        <v>43</v>
      </c>
      <c r="K169" s="25" t="s">
        <v>43</v>
      </c>
      <c r="L169" s="25" t="s">
        <v>43</v>
      </c>
    </row>
    <row r="170" spans="1:12" x14ac:dyDescent="0.25">
      <c r="A170" s="25">
        <v>167</v>
      </c>
      <c r="B170" s="25">
        <v>59</v>
      </c>
      <c r="C170" s="25" t="str">
        <f>INDEX(cursoDisciplina!$A$4:$F$112,MATCH(disciplinaGrade!B170,cursoDisciplina!$A$4:$A$112,0),MATCH(cursoDisciplina!$C$4,cursoDisciplina!$A$4:$F$4,0))</f>
        <v>curso 4</v>
      </c>
      <c r="D170" t="str">
        <f>INDEX(cursoDisciplina!$A$4:$F$112,MATCH(disciplinaGrade!B170,cursoDisciplina!$A$4:$A$112,0),MATCH(cursoDisciplina!$E$4,cursoDisciplina!$A$4:$F$4,0))</f>
        <v>Disciplina 5</v>
      </c>
      <c r="E170" t="s">
        <v>11</v>
      </c>
      <c r="F170" t="s">
        <v>10</v>
      </c>
      <c r="G170" s="25" t="s">
        <v>43</v>
      </c>
      <c r="H170" s="25" t="s">
        <v>43</v>
      </c>
      <c r="I170" s="25" t="s">
        <v>43</v>
      </c>
      <c r="J170" s="25" t="s">
        <v>43</v>
      </c>
      <c r="K170" s="25" t="s">
        <v>43</v>
      </c>
      <c r="L170" s="25" t="s">
        <v>43</v>
      </c>
    </row>
    <row r="171" spans="1:12" x14ac:dyDescent="0.25">
      <c r="A171" s="25">
        <v>168</v>
      </c>
      <c r="B171" s="25">
        <v>60</v>
      </c>
      <c r="C171" s="25" t="str">
        <f>INDEX(cursoDisciplina!$A$4:$F$112,MATCH(disciplinaGrade!B171,cursoDisciplina!$A$4:$A$112,0),MATCH(cursoDisciplina!$C$4,cursoDisciplina!$A$4:$F$4,0))</f>
        <v>curso 4</v>
      </c>
      <c r="D171" t="str">
        <f>INDEX(cursoDisciplina!$A$4:$F$112,MATCH(disciplinaGrade!B171,cursoDisciplina!$A$4:$A$112,0),MATCH(cursoDisciplina!$E$4,cursoDisciplina!$A$4:$F$4,0))</f>
        <v>Disciplina 6</v>
      </c>
      <c r="E171" t="s">
        <v>11</v>
      </c>
      <c r="F171" t="s">
        <v>10</v>
      </c>
      <c r="G171" s="25" t="s">
        <v>43</v>
      </c>
      <c r="H171" s="25" t="s">
        <v>43</v>
      </c>
      <c r="I171" s="25" t="s">
        <v>43</v>
      </c>
      <c r="J171" s="25" t="s">
        <v>43</v>
      </c>
      <c r="K171" s="25" t="s">
        <v>43</v>
      </c>
      <c r="L171" s="25" t="s">
        <v>43</v>
      </c>
    </row>
    <row r="172" spans="1:12" x14ac:dyDescent="0.25">
      <c r="A172" s="25">
        <v>169</v>
      </c>
      <c r="B172" s="25">
        <v>61</v>
      </c>
      <c r="C172" s="25" t="str">
        <f>INDEX(cursoDisciplina!$A$4:$F$112,MATCH(disciplinaGrade!B172,cursoDisciplina!$A$4:$A$112,0),MATCH(cursoDisciplina!$C$4,cursoDisciplina!$A$4:$F$4,0))</f>
        <v>curso 4</v>
      </c>
      <c r="D172" t="str">
        <f>INDEX(cursoDisciplina!$A$4:$F$112,MATCH(disciplinaGrade!B172,cursoDisciplina!$A$4:$A$112,0),MATCH(cursoDisciplina!$E$4,cursoDisciplina!$A$4:$F$4,0))</f>
        <v>Disciplina 7</v>
      </c>
      <c r="E172" t="s">
        <v>11</v>
      </c>
      <c r="F172" t="s">
        <v>10</v>
      </c>
      <c r="G172" s="25" t="s">
        <v>43</v>
      </c>
      <c r="H172" s="25" t="s">
        <v>43</v>
      </c>
      <c r="I172" s="25" t="s">
        <v>43</v>
      </c>
      <c r="J172" s="25" t="s">
        <v>43</v>
      </c>
      <c r="K172" s="25" t="s">
        <v>43</v>
      </c>
      <c r="L172" s="25" t="s">
        <v>43</v>
      </c>
    </row>
    <row r="173" spans="1:12" x14ac:dyDescent="0.25">
      <c r="A173" s="25">
        <v>170</v>
      </c>
      <c r="B173" s="25">
        <v>62</v>
      </c>
      <c r="C173" s="25" t="str">
        <f>INDEX(cursoDisciplina!$A$4:$F$112,MATCH(disciplinaGrade!B173,cursoDisciplina!$A$4:$A$112,0),MATCH(cursoDisciplina!$C$4,cursoDisciplina!$A$4:$F$4,0))</f>
        <v>curso 4</v>
      </c>
      <c r="D173" t="str">
        <f>INDEX(cursoDisciplina!$A$4:$F$112,MATCH(disciplinaGrade!B173,cursoDisciplina!$A$4:$A$112,0),MATCH(cursoDisciplina!$E$4,cursoDisciplina!$A$4:$F$4,0))</f>
        <v>Disciplina 8</v>
      </c>
      <c r="E173" t="s">
        <v>11</v>
      </c>
      <c r="F173" t="s">
        <v>10</v>
      </c>
      <c r="G173" s="25" t="s">
        <v>43</v>
      </c>
      <c r="H173" s="25" t="s">
        <v>43</v>
      </c>
      <c r="I173" s="25" t="s">
        <v>43</v>
      </c>
      <c r="J173" s="25" t="s">
        <v>43</v>
      </c>
      <c r="K173" s="25" t="s">
        <v>43</v>
      </c>
      <c r="L173" s="25" t="s">
        <v>43</v>
      </c>
    </row>
    <row r="174" spans="1:12" x14ac:dyDescent="0.25">
      <c r="A174" s="25">
        <v>171</v>
      </c>
      <c r="B174" s="25">
        <v>63</v>
      </c>
      <c r="C174" s="25" t="str">
        <f>INDEX(cursoDisciplina!$A$4:$F$112,MATCH(disciplinaGrade!B174,cursoDisciplina!$A$4:$A$112,0),MATCH(cursoDisciplina!$C$4,cursoDisciplina!$A$4:$F$4,0))</f>
        <v>curso 4</v>
      </c>
      <c r="D174" t="str">
        <f>INDEX(cursoDisciplina!$A$4:$F$112,MATCH(disciplinaGrade!B174,cursoDisciplina!$A$4:$A$112,0),MATCH(cursoDisciplina!$E$4,cursoDisciplina!$A$4:$F$4,0))</f>
        <v>Disciplina 9</v>
      </c>
      <c r="E174" t="s">
        <v>11</v>
      </c>
      <c r="F174" t="s">
        <v>10</v>
      </c>
      <c r="G174" s="25" t="s">
        <v>43</v>
      </c>
      <c r="H174" s="25" t="s">
        <v>43</v>
      </c>
      <c r="I174" s="25" t="s">
        <v>43</v>
      </c>
      <c r="J174" s="25" t="s">
        <v>43</v>
      </c>
      <c r="K174" s="25" t="s">
        <v>43</v>
      </c>
      <c r="L174" s="25" t="s">
        <v>43</v>
      </c>
    </row>
    <row r="175" spans="1:12" x14ac:dyDescent="0.25">
      <c r="A175" s="25">
        <v>172</v>
      </c>
      <c r="B175" s="25">
        <v>64</v>
      </c>
      <c r="C175" s="25" t="str">
        <f>INDEX(cursoDisciplina!$A$4:$F$112,MATCH(disciplinaGrade!B175,cursoDisciplina!$A$4:$A$112,0),MATCH(cursoDisciplina!$C$4,cursoDisciplina!$A$4:$F$4,0))</f>
        <v>curso 4</v>
      </c>
      <c r="D175" t="str">
        <f>INDEX(cursoDisciplina!$A$4:$F$112,MATCH(disciplinaGrade!B175,cursoDisciplina!$A$4:$A$112,0),MATCH(cursoDisciplina!$E$4,cursoDisciplina!$A$4:$F$4,0))</f>
        <v>Disciplina 10</v>
      </c>
      <c r="E175" t="s">
        <v>11</v>
      </c>
      <c r="F175" t="s">
        <v>10</v>
      </c>
      <c r="G175" s="25" t="s">
        <v>43</v>
      </c>
      <c r="H175" s="25" t="s">
        <v>43</v>
      </c>
      <c r="I175" s="25" t="s">
        <v>43</v>
      </c>
      <c r="J175" s="25" t="s">
        <v>43</v>
      </c>
      <c r="K175" s="25" t="s">
        <v>43</v>
      </c>
      <c r="L175" s="25" t="s">
        <v>43</v>
      </c>
    </row>
    <row r="176" spans="1:12" x14ac:dyDescent="0.25">
      <c r="A176" s="25">
        <v>173</v>
      </c>
      <c r="B176" s="25">
        <v>65</v>
      </c>
      <c r="C176" s="25" t="str">
        <f>INDEX(cursoDisciplina!$A$4:$F$112,MATCH(disciplinaGrade!B176,cursoDisciplina!$A$4:$A$112,0),MATCH(cursoDisciplina!$C$4,cursoDisciplina!$A$4:$F$4,0))</f>
        <v>curso 4</v>
      </c>
      <c r="D176" t="str">
        <f>INDEX(cursoDisciplina!$A$4:$F$112,MATCH(disciplinaGrade!B176,cursoDisciplina!$A$4:$A$112,0),MATCH(cursoDisciplina!$E$4,cursoDisciplina!$A$4:$F$4,0))</f>
        <v>Disciplina 11</v>
      </c>
      <c r="E176" t="s">
        <v>11</v>
      </c>
      <c r="F176" t="s">
        <v>10</v>
      </c>
      <c r="G176" s="25" t="s">
        <v>43</v>
      </c>
      <c r="H176" s="25" t="s">
        <v>43</v>
      </c>
      <c r="I176" s="25" t="s">
        <v>43</v>
      </c>
      <c r="J176" s="25" t="s">
        <v>43</v>
      </c>
      <c r="K176" s="25" t="s">
        <v>43</v>
      </c>
      <c r="L176" s="25" t="s">
        <v>43</v>
      </c>
    </row>
    <row r="177" spans="1:12" x14ac:dyDescent="0.25">
      <c r="A177" s="25">
        <v>174</v>
      </c>
      <c r="B177" s="25">
        <v>66</v>
      </c>
      <c r="C177" s="25" t="str">
        <f>INDEX(cursoDisciplina!$A$4:$F$112,MATCH(disciplinaGrade!B177,cursoDisciplina!$A$4:$A$112,0),MATCH(cursoDisciplina!$C$4,cursoDisciplina!$A$4:$F$4,0))</f>
        <v>curso 4</v>
      </c>
      <c r="D177" t="str">
        <f>INDEX(cursoDisciplina!$A$4:$F$112,MATCH(disciplinaGrade!B177,cursoDisciplina!$A$4:$A$112,0),MATCH(cursoDisciplina!$E$4,cursoDisciplina!$A$4:$F$4,0))</f>
        <v>Disciplina 12</v>
      </c>
      <c r="E177" t="s">
        <v>11</v>
      </c>
      <c r="F177" t="s">
        <v>10</v>
      </c>
      <c r="G177" s="25" t="s">
        <v>43</v>
      </c>
      <c r="H177" s="25" t="s">
        <v>43</v>
      </c>
      <c r="I177" s="25" t="s">
        <v>43</v>
      </c>
      <c r="J177" s="25" t="s">
        <v>43</v>
      </c>
      <c r="K177" s="25" t="s">
        <v>43</v>
      </c>
      <c r="L177" s="25" t="s">
        <v>43</v>
      </c>
    </row>
    <row r="178" spans="1:12" x14ac:dyDescent="0.25">
      <c r="A178" s="25">
        <v>175</v>
      </c>
      <c r="B178" s="25">
        <v>67</v>
      </c>
      <c r="C178" s="25" t="str">
        <f>INDEX(cursoDisciplina!$A$4:$F$112,MATCH(disciplinaGrade!B178,cursoDisciplina!$A$4:$A$112,0),MATCH(cursoDisciplina!$C$4,cursoDisciplina!$A$4:$F$4,0))</f>
        <v>curso 4</v>
      </c>
      <c r="D178" t="str">
        <f>INDEX(cursoDisciplina!$A$4:$F$112,MATCH(disciplinaGrade!B178,cursoDisciplina!$A$4:$A$112,0),MATCH(cursoDisciplina!$E$4,cursoDisciplina!$A$4:$F$4,0))</f>
        <v>Disciplina 13</v>
      </c>
      <c r="E178" t="s">
        <v>11</v>
      </c>
      <c r="F178" t="s">
        <v>10</v>
      </c>
      <c r="G178" s="25" t="s">
        <v>43</v>
      </c>
      <c r="H178" s="25" t="s">
        <v>43</v>
      </c>
      <c r="I178" s="25" t="s">
        <v>43</v>
      </c>
      <c r="J178" s="25" t="s">
        <v>43</v>
      </c>
      <c r="K178" s="25" t="s">
        <v>43</v>
      </c>
      <c r="L178" s="25" t="s">
        <v>43</v>
      </c>
    </row>
    <row r="179" spans="1:12" x14ac:dyDescent="0.25">
      <c r="A179" s="25">
        <v>176</v>
      </c>
      <c r="B179" s="25">
        <v>68</v>
      </c>
      <c r="C179" s="25" t="str">
        <f>INDEX(cursoDisciplina!$A$4:$F$112,MATCH(disciplinaGrade!B179,cursoDisciplina!$A$4:$A$112,0),MATCH(cursoDisciplina!$C$4,cursoDisciplina!$A$4:$F$4,0))</f>
        <v>curso 4</v>
      </c>
      <c r="D179" t="str">
        <f>INDEX(cursoDisciplina!$A$4:$F$112,MATCH(disciplinaGrade!B179,cursoDisciplina!$A$4:$A$112,0),MATCH(cursoDisciplina!$E$4,cursoDisciplina!$A$4:$F$4,0))</f>
        <v>Disciplina 14</v>
      </c>
      <c r="E179" t="s">
        <v>11</v>
      </c>
      <c r="F179" t="s">
        <v>10</v>
      </c>
      <c r="G179" s="25" t="s">
        <v>43</v>
      </c>
      <c r="H179" s="25" t="s">
        <v>43</v>
      </c>
      <c r="I179" s="25" t="s">
        <v>43</v>
      </c>
      <c r="J179" s="25" t="s">
        <v>43</v>
      </c>
      <c r="K179" s="25" t="s">
        <v>43</v>
      </c>
      <c r="L179" s="25" t="s">
        <v>43</v>
      </c>
    </row>
    <row r="180" spans="1:12" x14ac:dyDescent="0.25">
      <c r="A180" s="25">
        <v>177</v>
      </c>
      <c r="B180" s="25">
        <v>69</v>
      </c>
      <c r="C180" s="25" t="str">
        <f>INDEX(cursoDisciplina!$A$4:$F$112,MATCH(disciplinaGrade!B180,cursoDisciplina!$A$4:$A$112,0),MATCH(cursoDisciplina!$C$4,cursoDisciplina!$A$4:$F$4,0))</f>
        <v>curso 4</v>
      </c>
      <c r="D180" t="str">
        <f>INDEX(cursoDisciplina!$A$4:$F$112,MATCH(disciplinaGrade!B180,cursoDisciplina!$A$4:$A$112,0),MATCH(cursoDisciplina!$E$4,cursoDisciplina!$A$4:$F$4,0))</f>
        <v>Disciplina 15</v>
      </c>
      <c r="E180" t="s">
        <v>11</v>
      </c>
      <c r="F180" t="s">
        <v>10</v>
      </c>
      <c r="G180" s="25" t="s">
        <v>43</v>
      </c>
      <c r="H180" s="25" t="s">
        <v>43</v>
      </c>
      <c r="I180" s="25" t="s">
        <v>43</v>
      </c>
      <c r="J180" s="25" t="s">
        <v>43</v>
      </c>
      <c r="K180" s="25" t="s">
        <v>43</v>
      </c>
      <c r="L180" s="25" t="s">
        <v>43</v>
      </c>
    </row>
    <row r="181" spans="1:12" x14ac:dyDescent="0.25">
      <c r="A181" s="25">
        <v>178</v>
      </c>
      <c r="B181" s="25">
        <v>70</v>
      </c>
      <c r="C181" s="25" t="str">
        <f>INDEX(cursoDisciplina!$A$4:$F$112,MATCH(disciplinaGrade!B181,cursoDisciplina!$A$4:$A$112,0),MATCH(cursoDisciplina!$C$4,cursoDisciplina!$A$4:$F$4,0))</f>
        <v>curso 5</v>
      </c>
      <c r="D181" t="str">
        <f>INDEX(cursoDisciplina!$A$4:$F$112,MATCH(disciplinaGrade!B181,cursoDisciplina!$A$4:$A$112,0),MATCH(cursoDisciplina!$E$4,cursoDisciplina!$A$4:$F$4,0))</f>
        <v>laboratóeio de engenharia de Software</v>
      </c>
      <c r="E181" t="s">
        <v>11</v>
      </c>
      <c r="F181" t="s">
        <v>10</v>
      </c>
      <c r="G181" s="25" t="s">
        <v>43</v>
      </c>
      <c r="H181" s="25" t="s">
        <v>43</v>
      </c>
      <c r="I181" s="25" t="s">
        <v>43</v>
      </c>
      <c r="J181" s="25" t="s">
        <v>43</v>
      </c>
      <c r="K181" s="25" t="s">
        <v>43</v>
      </c>
      <c r="L181" s="25" t="s">
        <v>43</v>
      </c>
    </row>
    <row r="182" spans="1:12" x14ac:dyDescent="0.25">
      <c r="A182" s="25">
        <v>179</v>
      </c>
      <c r="B182" s="25">
        <v>71</v>
      </c>
      <c r="C182" s="25" t="str">
        <f>INDEX(cursoDisciplina!$A$4:$F$112,MATCH(disciplinaGrade!B182,cursoDisciplina!$A$4:$A$112,0),MATCH(cursoDisciplina!$C$4,cursoDisciplina!$A$4:$F$4,0))</f>
        <v>curso 5</v>
      </c>
      <c r="D182" t="str">
        <f>INDEX(cursoDisciplina!$A$4:$F$112,MATCH(disciplinaGrade!B182,cursoDisciplina!$A$4:$A$112,0),MATCH(cursoDisciplina!$E$4,cursoDisciplina!$A$4:$F$4,0))</f>
        <v>Estrutura de Dados</v>
      </c>
      <c r="E182" t="s">
        <v>11</v>
      </c>
      <c r="F182" t="s">
        <v>10</v>
      </c>
      <c r="G182" s="25" t="s">
        <v>43</v>
      </c>
      <c r="H182" s="25" t="s">
        <v>43</v>
      </c>
      <c r="I182" s="25" t="s">
        <v>43</v>
      </c>
      <c r="J182" s="25" t="s">
        <v>43</v>
      </c>
      <c r="K182" s="25" t="s">
        <v>43</v>
      </c>
      <c r="L182" s="25" t="s">
        <v>43</v>
      </c>
    </row>
    <row r="183" spans="1:12" x14ac:dyDescent="0.25">
      <c r="A183" s="25">
        <v>180</v>
      </c>
      <c r="B183" s="25">
        <v>72</v>
      </c>
      <c r="C183" s="25" t="str">
        <f>INDEX(cursoDisciplina!$A$4:$F$112,MATCH(disciplinaGrade!B183,cursoDisciplina!$A$4:$A$112,0),MATCH(cursoDisciplina!$C$4,cursoDisciplina!$A$4:$F$4,0))</f>
        <v>curso 5</v>
      </c>
      <c r="D183" t="str">
        <f>INDEX(cursoDisciplina!$A$4:$F$112,MATCH(disciplinaGrade!B183,cursoDisciplina!$A$4:$A$112,0),MATCH(cursoDisciplina!$E$4,cursoDisciplina!$A$4:$F$4,0))</f>
        <v>PEM</v>
      </c>
      <c r="E183" t="s">
        <v>11</v>
      </c>
      <c r="F183" t="s">
        <v>10</v>
      </c>
      <c r="G183" s="25" t="s">
        <v>43</v>
      </c>
      <c r="H183" s="25" t="s">
        <v>43</v>
      </c>
      <c r="I183" s="25" t="s">
        <v>43</v>
      </c>
      <c r="J183" s="25" t="s">
        <v>43</v>
      </c>
      <c r="K183" s="25" t="s">
        <v>43</v>
      </c>
      <c r="L183" s="25" t="s">
        <v>43</v>
      </c>
    </row>
    <row r="184" spans="1:12" x14ac:dyDescent="0.25">
      <c r="A184" s="25">
        <v>181</v>
      </c>
      <c r="B184" s="25">
        <v>73</v>
      </c>
      <c r="C184" s="25" t="str">
        <f>INDEX(cursoDisciplina!$A$4:$F$112,MATCH(disciplinaGrade!B184,cursoDisciplina!$A$4:$A$112,0),MATCH(cursoDisciplina!$C$4,cursoDisciplina!$A$4:$F$4,0))</f>
        <v>curso 5</v>
      </c>
      <c r="D184" t="str">
        <f>INDEX(cursoDisciplina!$A$4:$F$112,MATCH(disciplinaGrade!B184,cursoDisciplina!$A$4:$A$112,0),MATCH(cursoDisciplina!$E$4,cursoDisciplina!$A$4:$F$4,0))</f>
        <v>Disciplina 4</v>
      </c>
      <c r="E184" t="s">
        <v>11</v>
      </c>
      <c r="F184" t="s">
        <v>10</v>
      </c>
      <c r="G184" s="25" t="s">
        <v>43</v>
      </c>
      <c r="H184" s="25" t="s">
        <v>43</v>
      </c>
      <c r="I184" s="25" t="s">
        <v>43</v>
      </c>
      <c r="J184" s="25" t="s">
        <v>43</v>
      </c>
      <c r="K184" s="25" t="s">
        <v>43</v>
      </c>
      <c r="L184" s="25" t="s">
        <v>43</v>
      </c>
    </row>
    <row r="185" spans="1:12" x14ac:dyDescent="0.25">
      <c r="A185" s="25">
        <v>182</v>
      </c>
      <c r="B185" s="25">
        <v>74</v>
      </c>
      <c r="C185" s="25" t="str">
        <f>INDEX(cursoDisciplina!$A$4:$F$112,MATCH(disciplinaGrade!B185,cursoDisciplina!$A$4:$A$112,0),MATCH(cursoDisciplina!$C$4,cursoDisciplina!$A$4:$F$4,0))</f>
        <v>curso 5</v>
      </c>
      <c r="D185" t="str">
        <f>INDEX(cursoDisciplina!$A$4:$F$112,MATCH(disciplinaGrade!B185,cursoDisciplina!$A$4:$A$112,0),MATCH(cursoDisciplina!$E$4,cursoDisciplina!$A$4:$F$4,0))</f>
        <v>Disciplina 5</v>
      </c>
      <c r="E185" t="s">
        <v>11</v>
      </c>
      <c r="F185" t="s">
        <v>10</v>
      </c>
      <c r="G185" s="25" t="s">
        <v>43</v>
      </c>
      <c r="H185" s="25" t="s">
        <v>43</v>
      </c>
      <c r="I185" s="25" t="s">
        <v>43</v>
      </c>
      <c r="J185" s="25" t="s">
        <v>43</v>
      </c>
      <c r="K185" s="25" t="s">
        <v>43</v>
      </c>
      <c r="L185" s="25" t="s">
        <v>43</v>
      </c>
    </row>
    <row r="186" spans="1:12" x14ac:dyDescent="0.25">
      <c r="A186" s="25">
        <v>183</v>
      </c>
      <c r="B186" s="25">
        <v>75</v>
      </c>
      <c r="C186" s="25" t="str">
        <f>INDEX(cursoDisciplina!$A$4:$F$112,MATCH(disciplinaGrade!B186,cursoDisciplina!$A$4:$A$112,0),MATCH(cursoDisciplina!$C$4,cursoDisciplina!$A$4:$F$4,0))</f>
        <v>curso 5</v>
      </c>
      <c r="D186" t="str">
        <f>INDEX(cursoDisciplina!$A$4:$F$112,MATCH(disciplinaGrade!B186,cursoDisciplina!$A$4:$A$112,0),MATCH(cursoDisciplina!$E$4,cursoDisciplina!$A$4:$F$4,0))</f>
        <v>Disciplina 6</v>
      </c>
      <c r="E186" t="s">
        <v>11</v>
      </c>
      <c r="F186" t="s">
        <v>10</v>
      </c>
      <c r="G186" s="25" t="s">
        <v>43</v>
      </c>
      <c r="H186" s="25" t="s">
        <v>43</v>
      </c>
      <c r="I186" s="25" t="s">
        <v>43</v>
      </c>
      <c r="J186" s="25" t="s">
        <v>43</v>
      </c>
      <c r="K186" s="25" t="s">
        <v>43</v>
      </c>
      <c r="L186" s="25" t="s">
        <v>43</v>
      </c>
    </row>
    <row r="187" spans="1:12" x14ac:dyDescent="0.25">
      <c r="A187" s="25">
        <v>184</v>
      </c>
      <c r="B187" s="25">
        <v>76</v>
      </c>
      <c r="C187" s="25" t="str">
        <f>INDEX(cursoDisciplina!$A$4:$F$112,MATCH(disciplinaGrade!B187,cursoDisciplina!$A$4:$A$112,0),MATCH(cursoDisciplina!$C$4,cursoDisciplina!$A$4:$F$4,0))</f>
        <v>curso 5</v>
      </c>
      <c r="D187" t="str">
        <f>INDEX(cursoDisciplina!$A$4:$F$112,MATCH(disciplinaGrade!B187,cursoDisciplina!$A$4:$A$112,0),MATCH(cursoDisciplina!$E$4,cursoDisciplina!$A$4:$F$4,0))</f>
        <v>Disciplina 7</v>
      </c>
      <c r="E187" t="s">
        <v>11</v>
      </c>
      <c r="F187" t="s">
        <v>10</v>
      </c>
      <c r="G187" s="25" t="s">
        <v>43</v>
      </c>
      <c r="H187" s="25" t="s">
        <v>43</v>
      </c>
      <c r="I187" s="25" t="s">
        <v>43</v>
      </c>
      <c r="J187" s="25" t="s">
        <v>43</v>
      </c>
      <c r="K187" s="25" t="s">
        <v>43</v>
      </c>
      <c r="L187" s="25" t="s">
        <v>43</v>
      </c>
    </row>
    <row r="188" spans="1:12" x14ac:dyDescent="0.25">
      <c r="A188" s="25">
        <v>185</v>
      </c>
      <c r="B188" s="25">
        <v>77</v>
      </c>
      <c r="C188" s="25" t="str">
        <f>INDEX(cursoDisciplina!$A$4:$F$112,MATCH(disciplinaGrade!B188,cursoDisciplina!$A$4:$A$112,0),MATCH(cursoDisciplina!$C$4,cursoDisciplina!$A$4:$F$4,0))</f>
        <v>curso 5</v>
      </c>
      <c r="D188" t="str">
        <f>INDEX(cursoDisciplina!$A$4:$F$112,MATCH(disciplinaGrade!B188,cursoDisciplina!$A$4:$A$112,0),MATCH(cursoDisciplina!$E$4,cursoDisciplina!$A$4:$F$4,0))</f>
        <v>Disciplina 8</v>
      </c>
      <c r="E188" t="s">
        <v>11</v>
      </c>
      <c r="F188" t="s">
        <v>10</v>
      </c>
      <c r="G188" s="25" t="s">
        <v>43</v>
      </c>
      <c r="H188" s="25" t="s">
        <v>43</v>
      </c>
      <c r="I188" s="25" t="s">
        <v>43</v>
      </c>
      <c r="J188" s="25" t="s">
        <v>43</v>
      </c>
      <c r="K188" s="25" t="s">
        <v>43</v>
      </c>
      <c r="L188" s="25" t="s">
        <v>43</v>
      </c>
    </row>
    <row r="189" spans="1:12" x14ac:dyDescent="0.25">
      <c r="A189" s="25">
        <v>186</v>
      </c>
      <c r="B189" s="25">
        <v>78</v>
      </c>
      <c r="C189" s="25" t="str">
        <f>INDEX(cursoDisciplina!$A$4:$F$112,MATCH(disciplinaGrade!B189,cursoDisciplina!$A$4:$A$112,0),MATCH(cursoDisciplina!$C$4,cursoDisciplina!$A$4:$F$4,0))</f>
        <v>curso 5</v>
      </c>
      <c r="D189" t="str">
        <f>INDEX(cursoDisciplina!$A$4:$F$112,MATCH(disciplinaGrade!B189,cursoDisciplina!$A$4:$A$112,0),MATCH(cursoDisciplina!$E$4,cursoDisciplina!$A$4:$F$4,0))</f>
        <v>Disciplina 9</v>
      </c>
      <c r="E189" t="s">
        <v>11</v>
      </c>
      <c r="F189" t="s">
        <v>10</v>
      </c>
      <c r="G189" s="25" t="s">
        <v>43</v>
      </c>
      <c r="H189" s="25" t="s">
        <v>43</v>
      </c>
      <c r="I189" s="25" t="s">
        <v>43</v>
      </c>
      <c r="J189" s="25" t="s">
        <v>43</v>
      </c>
      <c r="K189" s="25" t="s">
        <v>43</v>
      </c>
      <c r="L189" s="25" t="s">
        <v>43</v>
      </c>
    </row>
    <row r="190" spans="1:12" x14ac:dyDescent="0.25">
      <c r="A190" s="25">
        <v>187</v>
      </c>
      <c r="B190" s="25">
        <v>79</v>
      </c>
      <c r="C190" s="25" t="str">
        <f>INDEX(cursoDisciplina!$A$4:$F$112,MATCH(disciplinaGrade!B190,cursoDisciplina!$A$4:$A$112,0),MATCH(cursoDisciplina!$C$4,cursoDisciplina!$A$4:$F$4,0))</f>
        <v>curso 5</v>
      </c>
      <c r="D190" t="str">
        <f>INDEX(cursoDisciplina!$A$4:$F$112,MATCH(disciplinaGrade!B190,cursoDisciplina!$A$4:$A$112,0),MATCH(cursoDisciplina!$E$4,cursoDisciplina!$A$4:$F$4,0))</f>
        <v>Disciplina 10</v>
      </c>
      <c r="E190" t="s">
        <v>11</v>
      </c>
      <c r="F190" t="s">
        <v>10</v>
      </c>
      <c r="G190" s="25" t="s">
        <v>43</v>
      </c>
      <c r="H190" s="25" t="s">
        <v>43</v>
      </c>
      <c r="I190" s="25" t="s">
        <v>43</v>
      </c>
      <c r="J190" s="25" t="s">
        <v>43</v>
      </c>
      <c r="K190" s="25" t="s">
        <v>43</v>
      </c>
      <c r="L190" s="25" t="s">
        <v>43</v>
      </c>
    </row>
    <row r="191" spans="1:12" x14ac:dyDescent="0.25">
      <c r="A191" s="25">
        <v>188</v>
      </c>
      <c r="B191" s="25">
        <v>80</v>
      </c>
      <c r="C191" s="25" t="str">
        <f>INDEX(cursoDisciplina!$A$4:$F$112,MATCH(disciplinaGrade!B191,cursoDisciplina!$A$4:$A$112,0),MATCH(cursoDisciplina!$C$4,cursoDisciplina!$A$4:$F$4,0))</f>
        <v>curso 5</v>
      </c>
      <c r="D191" t="str">
        <f>INDEX(cursoDisciplina!$A$4:$F$112,MATCH(disciplinaGrade!B191,cursoDisciplina!$A$4:$A$112,0),MATCH(cursoDisciplina!$E$4,cursoDisciplina!$A$4:$F$4,0))</f>
        <v>Disciplina 11</v>
      </c>
      <c r="E191" t="s">
        <v>11</v>
      </c>
      <c r="F191" t="s">
        <v>10</v>
      </c>
      <c r="G191" s="25" t="s">
        <v>43</v>
      </c>
      <c r="H191" s="25" t="s">
        <v>43</v>
      </c>
      <c r="I191" s="25" t="s">
        <v>43</v>
      </c>
      <c r="J191" s="25" t="s">
        <v>43</v>
      </c>
      <c r="K191" s="25" t="s">
        <v>43</v>
      </c>
      <c r="L191" s="25" t="s">
        <v>43</v>
      </c>
    </row>
    <row r="192" spans="1:12" x14ac:dyDescent="0.25">
      <c r="A192" s="25">
        <v>189</v>
      </c>
      <c r="B192" s="25">
        <v>81</v>
      </c>
      <c r="C192" s="25" t="str">
        <f>INDEX(cursoDisciplina!$A$4:$F$112,MATCH(disciplinaGrade!B192,cursoDisciplina!$A$4:$A$112,0),MATCH(cursoDisciplina!$C$4,cursoDisciplina!$A$4:$F$4,0))</f>
        <v>curso 5</v>
      </c>
      <c r="D192" t="str">
        <f>INDEX(cursoDisciplina!$A$4:$F$112,MATCH(disciplinaGrade!B192,cursoDisciplina!$A$4:$A$112,0),MATCH(cursoDisciplina!$E$4,cursoDisciplina!$A$4:$F$4,0))</f>
        <v>Disciplina 12</v>
      </c>
      <c r="E192" t="s">
        <v>11</v>
      </c>
      <c r="F192" t="s">
        <v>10</v>
      </c>
      <c r="G192" s="25" t="s">
        <v>43</v>
      </c>
      <c r="H192" s="25" t="s">
        <v>43</v>
      </c>
      <c r="I192" s="25" t="s">
        <v>43</v>
      </c>
      <c r="J192" s="25" t="s">
        <v>43</v>
      </c>
      <c r="K192" s="25" t="s">
        <v>43</v>
      </c>
      <c r="L192" s="25" t="s">
        <v>43</v>
      </c>
    </row>
    <row r="193" spans="1:12" x14ac:dyDescent="0.25">
      <c r="A193" s="25">
        <v>190</v>
      </c>
      <c r="B193" s="25">
        <v>82</v>
      </c>
      <c r="C193" s="25" t="str">
        <f>INDEX(cursoDisciplina!$A$4:$F$112,MATCH(disciplinaGrade!B193,cursoDisciplina!$A$4:$A$112,0),MATCH(cursoDisciplina!$C$4,cursoDisciplina!$A$4:$F$4,0))</f>
        <v>curso 5</v>
      </c>
      <c r="D193" t="str">
        <f>INDEX(cursoDisciplina!$A$4:$F$112,MATCH(disciplinaGrade!B193,cursoDisciplina!$A$4:$A$112,0),MATCH(cursoDisciplina!$E$4,cursoDisciplina!$A$4:$F$4,0))</f>
        <v>Disciplina 13</v>
      </c>
      <c r="E193" t="s">
        <v>11</v>
      </c>
      <c r="F193" t="s">
        <v>10</v>
      </c>
      <c r="G193" s="25" t="s">
        <v>43</v>
      </c>
      <c r="H193" s="25" t="s">
        <v>43</v>
      </c>
      <c r="I193" s="25" t="s">
        <v>43</v>
      </c>
      <c r="J193" s="25" t="s">
        <v>43</v>
      </c>
      <c r="K193" s="25" t="s">
        <v>43</v>
      </c>
      <c r="L193" s="25" t="s">
        <v>43</v>
      </c>
    </row>
    <row r="194" spans="1:12" x14ac:dyDescent="0.25">
      <c r="A194" s="25">
        <v>191</v>
      </c>
      <c r="B194" s="25">
        <v>83</v>
      </c>
      <c r="C194" s="25" t="str">
        <f>INDEX(cursoDisciplina!$A$4:$F$112,MATCH(disciplinaGrade!B194,cursoDisciplina!$A$4:$A$112,0),MATCH(cursoDisciplina!$C$4,cursoDisciplina!$A$4:$F$4,0))</f>
        <v>curso 5</v>
      </c>
      <c r="D194" t="str">
        <f>INDEX(cursoDisciplina!$A$4:$F$112,MATCH(disciplinaGrade!B194,cursoDisciplina!$A$4:$A$112,0),MATCH(cursoDisciplina!$E$4,cursoDisciplina!$A$4:$F$4,0))</f>
        <v>Disciplina 14</v>
      </c>
      <c r="E194" t="s">
        <v>11</v>
      </c>
      <c r="F194" t="s">
        <v>10</v>
      </c>
      <c r="G194" s="25" t="s">
        <v>43</v>
      </c>
      <c r="H194" s="25" t="s">
        <v>43</v>
      </c>
      <c r="I194" s="25" t="s">
        <v>43</v>
      </c>
      <c r="J194" s="25" t="s">
        <v>43</v>
      </c>
      <c r="K194" s="25" t="s">
        <v>43</v>
      </c>
      <c r="L194" s="25" t="s">
        <v>43</v>
      </c>
    </row>
    <row r="195" spans="1:12" x14ac:dyDescent="0.25">
      <c r="A195" s="25">
        <v>192</v>
      </c>
      <c r="B195" s="25">
        <v>84</v>
      </c>
      <c r="C195" s="25" t="str">
        <f>INDEX(cursoDisciplina!$A$4:$F$112,MATCH(disciplinaGrade!B195,cursoDisciplina!$A$4:$A$112,0),MATCH(cursoDisciplina!$C$4,cursoDisciplina!$A$4:$F$4,0))</f>
        <v>curso 6</v>
      </c>
      <c r="D195" t="str">
        <f>INDEX(cursoDisciplina!$A$4:$F$112,MATCH(disciplinaGrade!B195,cursoDisciplina!$A$4:$A$112,0),MATCH(cursoDisciplina!$E$4,cursoDisciplina!$A$4:$F$4,0))</f>
        <v>laboratóeio de engenharia de Software</v>
      </c>
      <c r="E195" t="s">
        <v>11</v>
      </c>
      <c r="F195" t="s">
        <v>10</v>
      </c>
      <c r="G195" s="25" t="s">
        <v>43</v>
      </c>
      <c r="H195" s="25" t="s">
        <v>43</v>
      </c>
      <c r="I195" s="25" t="s">
        <v>43</v>
      </c>
      <c r="J195" s="25" t="s">
        <v>43</v>
      </c>
      <c r="K195" s="25" t="s">
        <v>43</v>
      </c>
      <c r="L195" s="25" t="s">
        <v>43</v>
      </c>
    </row>
    <row r="196" spans="1:12" x14ac:dyDescent="0.25">
      <c r="A196" s="25">
        <v>193</v>
      </c>
      <c r="B196" s="25">
        <v>85</v>
      </c>
      <c r="C196" s="25" t="str">
        <f>INDEX(cursoDisciplina!$A$4:$F$112,MATCH(disciplinaGrade!B196,cursoDisciplina!$A$4:$A$112,0),MATCH(cursoDisciplina!$C$4,cursoDisciplina!$A$4:$F$4,0))</f>
        <v>curso 6</v>
      </c>
      <c r="D196" t="str">
        <f>INDEX(cursoDisciplina!$A$4:$F$112,MATCH(disciplinaGrade!B196,cursoDisciplina!$A$4:$A$112,0),MATCH(cursoDisciplina!$E$4,cursoDisciplina!$A$4:$F$4,0))</f>
        <v>Estrutura de Dados</v>
      </c>
      <c r="E196" t="s">
        <v>11</v>
      </c>
      <c r="F196" t="s">
        <v>10</v>
      </c>
      <c r="G196" s="25" t="s">
        <v>43</v>
      </c>
      <c r="H196" s="25" t="s">
        <v>43</v>
      </c>
      <c r="I196" s="25" t="s">
        <v>43</v>
      </c>
      <c r="J196" s="25" t="s">
        <v>43</v>
      </c>
      <c r="K196" s="25" t="s">
        <v>43</v>
      </c>
      <c r="L196" s="25" t="s">
        <v>43</v>
      </c>
    </row>
    <row r="197" spans="1:12" x14ac:dyDescent="0.25">
      <c r="A197" s="25">
        <v>194</v>
      </c>
      <c r="B197" s="25">
        <v>86</v>
      </c>
      <c r="C197" s="25" t="str">
        <f>INDEX(cursoDisciplina!$A$4:$F$112,MATCH(disciplinaGrade!B197,cursoDisciplina!$A$4:$A$112,0),MATCH(cursoDisciplina!$C$4,cursoDisciplina!$A$4:$F$4,0))</f>
        <v>curso 6</v>
      </c>
      <c r="D197" t="str">
        <f>INDEX(cursoDisciplina!$A$4:$F$112,MATCH(disciplinaGrade!B197,cursoDisciplina!$A$4:$A$112,0),MATCH(cursoDisciplina!$E$4,cursoDisciplina!$A$4:$F$4,0))</f>
        <v>PEM</v>
      </c>
      <c r="E197" t="s">
        <v>11</v>
      </c>
      <c r="F197" t="s">
        <v>10</v>
      </c>
      <c r="G197" s="25" t="s">
        <v>43</v>
      </c>
      <c r="H197" s="25" t="s">
        <v>43</v>
      </c>
      <c r="I197" s="25" t="s">
        <v>43</v>
      </c>
      <c r="J197" s="25" t="s">
        <v>43</v>
      </c>
      <c r="K197" s="25" t="s">
        <v>43</v>
      </c>
      <c r="L197" s="25" t="s">
        <v>43</v>
      </c>
    </row>
    <row r="198" spans="1:12" x14ac:dyDescent="0.25">
      <c r="A198" s="25">
        <v>195</v>
      </c>
      <c r="B198" s="25">
        <v>87</v>
      </c>
      <c r="C198" s="25" t="str">
        <f>INDEX(cursoDisciplina!$A$4:$F$112,MATCH(disciplinaGrade!B198,cursoDisciplina!$A$4:$A$112,0),MATCH(cursoDisciplina!$C$4,cursoDisciplina!$A$4:$F$4,0))</f>
        <v>curso 6</v>
      </c>
      <c r="D198" t="str">
        <f>INDEX(cursoDisciplina!$A$4:$F$112,MATCH(disciplinaGrade!B198,cursoDisciplina!$A$4:$A$112,0),MATCH(cursoDisciplina!$E$4,cursoDisciplina!$A$4:$F$4,0))</f>
        <v>Disciplina 4</v>
      </c>
      <c r="E198" t="s">
        <v>11</v>
      </c>
      <c r="F198" t="s">
        <v>10</v>
      </c>
      <c r="G198" s="25" t="s">
        <v>43</v>
      </c>
      <c r="H198" s="25" t="s">
        <v>43</v>
      </c>
      <c r="I198" s="25" t="s">
        <v>43</v>
      </c>
      <c r="J198" s="25" t="s">
        <v>43</v>
      </c>
      <c r="K198" s="25" t="s">
        <v>43</v>
      </c>
      <c r="L198" s="25" t="s">
        <v>43</v>
      </c>
    </row>
    <row r="199" spans="1:12" x14ac:dyDescent="0.25">
      <c r="A199" s="25">
        <v>196</v>
      </c>
      <c r="B199" s="25">
        <v>88</v>
      </c>
      <c r="C199" s="25" t="str">
        <f>INDEX(cursoDisciplina!$A$4:$F$112,MATCH(disciplinaGrade!B199,cursoDisciplina!$A$4:$A$112,0),MATCH(cursoDisciplina!$C$4,cursoDisciplina!$A$4:$F$4,0))</f>
        <v>curso 6</v>
      </c>
      <c r="D199" t="str">
        <f>INDEX(cursoDisciplina!$A$4:$F$112,MATCH(disciplinaGrade!B199,cursoDisciplina!$A$4:$A$112,0),MATCH(cursoDisciplina!$E$4,cursoDisciplina!$A$4:$F$4,0))</f>
        <v>Disciplina 5</v>
      </c>
      <c r="E199" t="s">
        <v>11</v>
      </c>
      <c r="F199" t="s">
        <v>10</v>
      </c>
      <c r="G199" s="25" t="s">
        <v>43</v>
      </c>
      <c r="H199" s="25" t="s">
        <v>43</v>
      </c>
      <c r="I199" s="25" t="s">
        <v>43</v>
      </c>
      <c r="J199" s="25" t="s">
        <v>43</v>
      </c>
      <c r="K199" s="25" t="s">
        <v>43</v>
      </c>
      <c r="L199" s="25" t="s">
        <v>43</v>
      </c>
    </row>
    <row r="200" spans="1:12" x14ac:dyDescent="0.25">
      <c r="A200" s="25">
        <v>197</v>
      </c>
      <c r="B200" s="25">
        <v>89</v>
      </c>
      <c r="C200" s="25" t="str">
        <f>INDEX(cursoDisciplina!$A$4:$F$112,MATCH(disciplinaGrade!B200,cursoDisciplina!$A$4:$A$112,0),MATCH(cursoDisciplina!$C$4,cursoDisciplina!$A$4:$F$4,0))</f>
        <v>curso 6</v>
      </c>
      <c r="D200" t="str">
        <f>INDEX(cursoDisciplina!$A$4:$F$112,MATCH(disciplinaGrade!B200,cursoDisciplina!$A$4:$A$112,0),MATCH(cursoDisciplina!$E$4,cursoDisciplina!$A$4:$F$4,0))</f>
        <v>Disciplina 6</v>
      </c>
      <c r="E200" t="s">
        <v>11</v>
      </c>
      <c r="F200" t="s">
        <v>10</v>
      </c>
      <c r="G200" s="25" t="s">
        <v>43</v>
      </c>
      <c r="H200" s="25" t="s">
        <v>43</v>
      </c>
      <c r="I200" s="25" t="s">
        <v>43</v>
      </c>
      <c r="J200" s="25" t="s">
        <v>43</v>
      </c>
      <c r="K200" s="25" t="s">
        <v>43</v>
      </c>
      <c r="L200" s="25" t="s">
        <v>43</v>
      </c>
    </row>
    <row r="201" spans="1:12" x14ac:dyDescent="0.25">
      <c r="A201" s="25">
        <v>198</v>
      </c>
      <c r="B201" s="25">
        <v>90</v>
      </c>
      <c r="C201" s="25" t="str">
        <f>INDEX(cursoDisciplina!$A$4:$F$112,MATCH(disciplinaGrade!B201,cursoDisciplina!$A$4:$A$112,0),MATCH(cursoDisciplina!$C$4,cursoDisciplina!$A$4:$F$4,0))</f>
        <v>curso 6</v>
      </c>
      <c r="D201" t="str">
        <f>INDEX(cursoDisciplina!$A$4:$F$112,MATCH(disciplinaGrade!B201,cursoDisciplina!$A$4:$A$112,0),MATCH(cursoDisciplina!$E$4,cursoDisciplina!$A$4:$F$4,0))</f>
        <v>Disciplina 7</v>
      </c>
      <c r="E201" t="s">
        <v>11</v>
      </c>
      <c r="F201" t="s">
        <v>10</v>
      </c>
      <c r="G201" s="25" t="s">
        <v>43</v>
      </c>
      <c r="H201" s="25" t="s">
        <v>43</v>
      </c>
      <c r="I201" s="25" t="s">
        <v>43</v>
      </c>
      <c r="J201" s="25" t="s">
        <v>43</v>
      </c>
      <c r="K201" s="25" t="s">
        <v>43</v>
      </c>
      <c r="L201" s="25" t="s">
        <v>43</v>
      </c>
    </row>
    <row r="202" spans="1:12" x14ac:dyDescent="0.25">
      <c r="A202" s="25">
        <v>199</v>
      </c>
      <c r="B202" s="25">
        <v>91</v>
      </c>
      <c r="C202" s="25" t="str">
        <f>INDEX(cursoDisciplina!$A$4:$F$112,MATCH(disciplinaGrade!B202,cursoDisciplina!$A$4:$A$112,0),MATCH(cursoDisciplina!$C$4,cursoDisciplina!$A$4:$F$4,0))</f>
        <v>curso 6</v>
      </c>
      <c r="D202" t="str">
        <f>INDEX(cursoDisciplina!$A$4:$F$112,MATCH(disciplinaGrade!B202,cursoDisciplina!$A$4:$A$112,0),MATCH(cursoDisciplina!$E$4,cursoDisciplina!$A$4:$F$4,0))</f>
        <v>Disciplina 8</v>
      </c>
      <c r="E202" t="s">
        <v>11</v>
      </c>
      <c r="F202" t="s">
        <v>10</v>
      </c>
      <c r="G202" s="25" t="s">
        <v>43</v>
      </c>
      <c r="H202" s="25" t="s">
        <v>43</v>
      </c>
      <c r="I202" s="25" t="s">
        <v>43</v>
      </c>
      <c r="J202" s="25" t="s">
        <v>43</v>
      </c>
      <c r="K202" s="25" t="s">
        <v>43</v>
      </c>
      <c r="L202" s="25" t="s">
        <v>43</v>
      </c>
    </row>
    <row r="203" spans="1:12" x14ac:dyDescent="0.25">
      <c r="A203" s="25">
        <v>200</v>
      </c>
      <c r="B203" s="25">
        <v>92</v>
      </c>
      <c r="C203" s="25" t="str">
        <f>INDEX(cursoDisciplina!$A$4:$F$112,MATCH(disciplinaGrade!B203,cursoDisciplina!$A$4:$A$112,0),MATCH(cursoDisciplina!$C$4,cursoDisciplina!$A$4:$F$4,0))</f>
        <v>curso 6</v>
      </c>
      <c r="D203" t="str">
        <f>INDEX(cursoDisciplina!$A$4:$F$112,MATCH(disciplinaGrade!B203,cursoDisciplina!$A$4:$A$112,0),MATCH(cursoDisciplina!$E$4,cursoDisciplina!$A$4:$F$4,0))</f>
        <v>Disciplina 9</v>
      </c>
      <c r="E203" t="s">
        <v>11</v>
      </c>
      <c r="F203" t="s">
        <v>10</v>
      </c>
      <c r="G203" s="25" t="s">
        <v>43</v>
      </c>
      <c r="H203" s="25" t="s">
        <v>43</v>
      </c>
      <c r="I203" s="25" t="s">
        <v>43</v>
      </c>
      <c r="J203" s="25" t="s">
        <v>43</v>
      </c>
      <c r="K203" s="25" t="s">
        <v>43</v>
      </c>
      <c r="L203" s="25" t="s">
        <v>43</v>
      </c>
    </row>
    <row r="204" spans="1:12" x14ac:dyDescent="0.25">
      <c r="A204" s="25">
        <v>201</v>
      </c>
      <c r="B204" s="25">
        <v>93</v>
      </c>
      <c r="C204" s="25" t="str">
        <f>INDEX(cursoDisciplina!$A$4:$F$112,MATCH(disciplinaGrade!B204,cursoDisciplina!$A$4:$A$112,0),MATCH(cursoDisciplina!$C$4,cursoDisciplina!$A$4:$F$4,0))</f>
        <v>curso 6</v>
      </c>
      <c r="D204" t="str">
        <f>INDEX(cursoDisciplina!$A$4:$F$112,MATCH(disciplinaGrade!B204,cursoDisciplina!$A$4:$A$112,0),MATCH(cursoDisciplina!$E$4,cursoDisciplina!$A$4:$F$4,0))</f>
        <v>Disciplina 10</v>
      </c>
      <c r="E204" t="s">
        <v>11</v>
      </c>
      <c r="F204" t="s">
        <v>10</v>
      </c>
      <c r="G204" s="25" t="s">
        <v>43</v>
      </c>
      <c r="H204" s="25" t="s">
        <v>43</v>
      </c>
      <c r="I204" s="25" t="s">
        <v>43</v>
      </c>
      <c r="J204" s="25" t="s">
        <v>43</v>
      </c>
      <c r="K204" s="25" t="s">
        <v>43</v>
      </c>
      <c r="L204" s="25" t="s">
        <v>43</v>
      </c>
    </row>
    <row r="205" spans="1:12" x14ac:dyDescent="0.25">
      <c r="A205" s="25">
        <v>202</v>
      </c>
      <c r="B205" s="25">
        <v>94</v>
      </c>
      <c r="C205" s="25" t="str">
        <f>INDEX(cursoDisciplina!$A$4:$F$112,MATCH(disciplinaGrade!B205,cursoDisciplina!$A$4:$A$112,0),MATCH(cursoDisciplina!$C$4,cursoDisciplina!$A$4:$F$4,0))</f>
        <v>curso 6</v>
      </c>
      <c r="D205" t="str">
        <f>INDEX(cursoDisciplina!$A$4:$F$112,MATCH(disciplinaGrade!B205,cursoDisciplina!$A$4:$A$112,0),MATCH(cursoDisciplina!$E$4,cursoDisciplina!$A$4:$F$4,0))</f>
        <v>Disciplina 11</v>
      </c>
      <c r="E205" t="s">
        <v>11</v>
      </c>
      <c r="F205" t="s">
        <v>10</v>
      </c>
      <c r="G205" s="25" t="s">
        <v>43</v>
      </c>
      <c r="H205" s="25" t="s">
        <v>43</v>
      </c>
      <c r="I205" s="25" t="s">
        <v>43</v>
      </c>
      <c r="J205" s="25" t="s">
        <v>43</v>
      </c>
      <c r="K205" s="25" t="s">
        <v>43</v>
      </c>
      <c r="L205" s="25" t="s">
        <v>43</v>
      </c>
    </row>
    <row r="206" spans="1:12" x14ac:dyDescent="0.25">
      <c r="A206" s="25">
        <v>203</v>
      </c>
      <c r="B206" s="25">
        <v>95</v>
      </c>
      <c r="C206" s="25" t="str">
        <f>INDEX(cursoDisciplina!$A$4:$F$112,MATCH(disciplinaGrade!B206,cursoDisciplina!$A$4:$A$112,0),MATCH(cursoDisciplina!$C$4,cursoDisciplina!$A$4:$F$4,0))</f>
        <v>curso 6</v>
      </c>
      <c r="D206" t="str">
        <f>INDEX(cursoDisciplina!$A$4:$F$112,MATCH(disciplinaGrade!B206,cursoDisciplina!$A$4:$A$112,0),MATCH(cursoDisciplina!$E$4,cursoDisciplina!$A$4:$F$4,0))</f>
        <v>Disciplina 12</v>
      </c>
      <c r="E206" t="s">
        <v>11</v>
      </c>
      <c r="F206" t="s">
        <v>10</v>
      </c>
      <c r="G206" s="25" t="s">
        <v>43</v>
      </c>
      <c r="H206" s="25" t="s">
        <v>43</v>
      </c>
      <c r="I206" s="25" t="s">
        <v>43</v>
      </c>
      <c r="J206" s="25" t="s">
        <v>43</v>
      </c>
      <c r="K206" s="25" t="s">
        <v>43</v>
      </c>
      <c r="L206" s="25" t="s">
        <v>43</v>
      </c>
    </row>
    <row r="207" spans="1:12" x14ac:dyDescent="0.25">
      <c r="A207" s="25">
        <v>204</v>
      </c>
      <c r="B207" s="25">
        <v>96</v>
      </c>
      <c r="C207" s="25" t="str">
        <f>INDEX(cursoDisciplina!$A$4:$F$112,MATCH(disciplinaGrade!B207,cursoDisciplina!$A$4:$A$112,0),MATCH(cursoDisciplina!$C$4,cursoDisciplina!$A$4:$F$4,0))</f>
        <v>curso 6</v>
      </c>
      <c r="D207" t="str">
        <f>INDEX(cursoDisciplina!$A$4:$F$112,MATCH(disciplinaGrade!B207,cursoDisciplina!$A$4:$A$112,0),MATCH(cursoDisciplina!$E$4,cursoDisciplina!$A$4:$F$4,0))</f>
        <v>Disciplina 13</v>
      </c>
      <c r="E207" t="s">
        <v>11</v>
      </c>
      <c r="F207" t="s">
        <v>10</v>
      </c>
      <c r="G207" s="25" t="s">
        <v>43</v>
      </c>
      <c r="H207" s="25" t="s">
        <v>43</v>
      </c>
      <c r="I207" s="25" t="s">
        <v>43</v>
      </c>
      <c r="J207" s="25" t="s">
        <v>43</v>
      </c>
      <c r="K207" s="25" t="s">
        <v>43</v>
      </c>
      <c r="L207" s="25" t="s">
        <v>43</v>
      </c>
    </row>
    <row r="208" spans="1:12" x14ac:dyDescent="0.25">
      <c r="A208" s="25">
        <v>205</v>
      </c>
      <c r="B208" s="25">
        <v>97</v>
      </c>
      <c r="C208" s="25" t="str">
        <f>INDEX(cursoDisciplina!$A$4:$F$112,MATCH(disciplinaGrade!B208,cursoDisciplina!$A$4:$A$112,0),MATCH(cursoDisciplina!$C$4,cursoDisciplina!$A$4:$F$4,0))</f>
        <v>curso 6</v>
      </c>
      <c r="D208" t="str">
        <f>INDEX(cursoDisciplina!$A$4:$F$112,MATCH(disciplinaGrade!B208,cursoDisciplina!$A$4:$A$112,0),MATCH(cursoDisciplina!$E$4,cursoDisciplina!$A$4:$F$4,0))</f>
        <v>Disciplina 14</v>
      </c>
      <c r="E208" t="s">
        <v>11</v>
      </c>
      <c r="F208" t="s">
        <v>10</v>
      </c>
      <c r="G208" s="25" t="s">
        <v>43</v>
      </c>
      <c r="H208" s="25" t="s">
        <v>43</v>
      </c>
      <c r="I208" s="25" t="s">
        <v>43</v>
      </c>
      <c r="J208" s="25" t="s">
        <v>43</v>
      </c>
      <c r="K208" s="25" t="s">
        <v>43</v>
      </c>
      <c r="L208" s="25" t="s">
        <v>43</v>
      </c>
    </row>
    <row r="209" spans="1:12" x14ac:dyDescent="0.25">
      <c r="A209" s="25">
        <v>206</v>
      </c>
      <c r="B209" s="25">
        <v>98</v>
      </c>
      <c r="C209" s="25" t="str">
        <f>INDEX(cursoDisciplina!$A$4:$F$112,MATCH(disciplinaGrade!B209,cursoDisciplina!$A$4:$A$112,0),MATCH(cursoDisciplina!$C$4,cursoDisciplina!$A$4:$F$4,0))</f>
        <v>curso 6</v>
      </c>
      <c r="D209" t="str">
        <f>INDEX(cursoDisciplina!$A$4:$F$112,MATCH(disciplinaGrade!B209,cursoDisciplina!$A$4:$A$112,0),MATCH(cursoDisciplina!$E$4,cursoDisciplina!$A$4:$F$4,0))</f>
        <v>Disciplina 15</v>
      </c>
      <c r="E209" t="s">
        <v>11</v>
      </c>
      <c r="F209" t="s">
        <v>10</v>
      </c>
      <c r="G209" s="25" t="s">
        <v>43</v>
      </c>
      <c r="H209" s="25" t="s">
        <v>43</v>
      </c>
      <c r="I209" s="25" t="s">
        <v>43</v>
      </c>
      <c r="J209" s="25" t="s">
        <v>43</v>
      </c>
      <c r="K209" s="25" t="s">
        <v>43</v>
      </c>
      <c r="L209" s="25" t="s">
        <v>43</v>
      </c>
    </row>
    <row r="210" spans="1:12" x14ac:dyDescent="0.25">
      <c r="A210" s="25">
        <v>207</v>
      </c>
      <c r="B210" s="25">
        <v>99</v>
      </c>
      <c r="C210" s="25" t="str">
        <f>INDEX(cursoDisciplina!$A$4:$F$112,MATCH(disciplinaGrade!B210,cursoDisciplina!$A$4:$A$112,0),MATCH(cursoDisciplina!$C$4,cursoDisciplina!$A$4:$F$4,0))</f>
        <v>curso 6</v>
      </c>
      <c r="D210" t="str">
        <f>INDEX(cursoDisciplina!$A$4:$F$112,MATCH(disciplinaGrade!B210,cursoDisciplina!$A$4:$A$112,0),MATCH(cursoDisciplina!$E$4,cursoDisciplina!$A$4:$F$4,0))</f>
        <v>Disciplina 16</v>
      </c>
      <c r="E210" t="s">
        <v>11</v>
      </c>
      <c r="F210" t="s">
        <v>10</v>
      </c>
      <c r="G210" s="25" t="s">
        <v>43</v>
      </c>
      <c r="H210" s="25" t="s">
        <v>43</v>
      </c>
      <c r="I210" s="25" t="s">
        <v>43</v>
      </c>
      <c r="J210" s="25" t="s">
        <v>43</v>
      </c>
      <c r="K210" s="25" t="s">
        <v>43</v>
      </c>
      <c r="L210" s="25" t="s">
        <v>43</v>
      </c>
    </row>
    <row r="211" spans="1:12" x14ac:dyDescent="0.25">
      <c r="A211" s="25">
        <v>208</v>
      </c>
      <c r="B211" s="25">
        <v>100</v>
      </c>
      <c r="C211" s="25" t="str">
        <f>INDEX(cursoDisciplina!$A$4:$F$112,MATCH(disciplinaGrade!B211,cursoDisciplina!$A$4:$A$112,0),MATCH(cursoDisciplina!$C$4,cursoDisciplina!$A$4:$F$4,0))</f>
        <v>curso 6</v>
      </c>
      <c r="D211" t="str">
        <f>INDEX(cursoDisciplina!$A$4:$F$112,MATCH(disciplinaGrade!B211,cursoDisciplina!$A$4:$A$112,0),MATCH(cursoDisciplina!$E$4,cursoDisciplina!$A$4:$F$4,0))</f>
        <v>Disciplina 17</v>
      </c>
      <c r="E211" t="s">
        <v>11</v>
      </c>
      <c r="F211" t="s">
        <v>10</v>
      </c>
      <c r="G211" s="25" t="s">
        <v>43</v>
      </c>
      <c r="H211" s="25" t="s">
        <v>43</v>
      </c>
      <c r="I211" s="25" t="s">
        <v>43</v>
      </c>
      <c r="J211" s="25" t="s">
        <v>43</v>
      </c>
      <c r="K211" s="25" t="s">
        <v>43</v>
      </c>
      <c r="L211" s="25" t="s">
        <v>43</v>
      </c>
    </row>
    <row r="212" spans="1:12" x14ac:dyDescent="0.25">
      <c r="A212" s="25">
        <v>209</v>
      </c>
      <c r="B212" s="25">
        <v>101</v>
      </c>
      <c r="C212" s="25" t="str">
        <f>INDEX(cursoDisciplina!$A$4:$F$112,MATCH(disciplinaGrade!B212,cursoDisciplina!$A$4:$A$112,0),MATCH(cursoDisciplina!$C$4,cursoDisciplina!$A$4:$F$4,0))</f>
        <v>curso 6</v>
      </c>
      <c r="D212" t="str">
        <f>INDEX(cursoDisciplina!$A$4:$F$112,MATCH(disciplinaGrade!B212,cursoDisciplina!$A$4:$A$112,0),MATCH(cursoDisciplina!$E$4,cursoDisciplina!$A$4:$F$4,0))</f>
        <v>Disciplina 18</v>
      </c>
      <c r="E212" t="s">
        <v>11</v>
      </c>
      <c r="F212" t="s">
        <v>10</v>
      </c>
      <c r="G212" s="25" t="s">
        <v>43</v>
      </c>
      <c r="H212" s="25" t="s">
        <v>43</v>
      </c>
      <c r="I212" s="25" t="s">
        <v>43</v>
      </c>
      <c r="J212" s="25" t="s">
        <v>43</v>
      </c>
      <c r="K212" s="25" t="s">
        <v>43</v>
      </c>
      <c r="L212" s="25" t="s">
        <v>43</v>
      </c>
    </row>
    <row r="213" spans="1:12" x14ac:dyDescent="0.25">
      <c r="A213" s="25">
        <v>210</v>
      </c>
      <c r="B213" s="25">
        <v>102</v>
      </c>
      <c r="C213" s="25" t="str">
        <f>INDEX(cursoDisciplina!$A$4:$F$112,MATCH(disciplinaGrade!B213,cursoDisciplina!$A$4:$A$112,0),MATCH(cursoDisciplina!$C$4,cursoDisciplina!$A$4:$F$4,0))</f>
        <v>curso 6</v>
      </c>
      <c r="D213" t="str">
        <f>INDEX(cursoDisciplina!$A$4:$F$112,MATCH(disciplinaGrade!B213,cursoDisciplina!$A$4:$A$112,0),MATCH(cursoDisciplina!$E$4,cursoDisciplina!$A$4:$F$4,0))</f>
        <v>Disciplina 19</v>
      </c>
      <c r="E213" t="s">
        <v>11</v>
      </c>
      <c r="F213" t="s">
        <v>10</v>
      </c>
      <c r="G213" s="25" t="s">
        <v>43</v>
      </c>
      <c r="H213" s="25" t="s">
        <v>43</v>
      </c>
      <c r="I213" s="25" t="s">
        <v>43</v>
      </c>
      <c r="J213" s="25" t="s">
        <v>43</v>
      </c>
      <c r="K213" s="25" t="s">
        <v>43</v>
      </c>
      <c r="L213" s="25" t="s">
        <v>43</v>
      </c>
    </row>
    <row r="214" spans="1:12" x14ac:dyDescent="0.25">
      <c r="A214" s="25">
        <v>211</v>
      </c>
      <c r="B214" s="25">
        <v>103</v>
      </c>
      <c r="C214" s="25" t="str">
        <f>INDEX(cursoDisciplina!$A$4:$F$112,MATCH(disciplinaGrade!B214,cursoDisciplina!$A$4:$A$112,0),MATCH(cursoDisciplina!$C$4,cursoDisciplina!$A$4:$F$4,0))</f>
        <v>curso 6</v>
      </c>
      <c r="D214" t="str">
        <f>INDEX(cursoDisciplina!$A$4:$F$112,MATCH(disciplinaGrade!B214,cursoDisciplina!$A$4:$A$112,0),MATCH(cursoDisciplina!$E$4,cursoDisciplina!$A$4:$F$4,0))</f>
        <v>Disciplina 20</v>
      </c>
      <c r="E214" t="s">
        <v>11</v>
      </c>
      <c r="F214" t="s">
        <v>10</v>
      </c>
      <c r="G214" s="25" t="s">
        <v>43</v>
      </c>
      <c r="H214" s="25" t="s">
        <v>43</v>
      </c>
      <c r="I214" s="25" t="s">
        <v>43</v>
      </c>
      <c r="J214" s="25" t="s">
        <v>43</v>
      </c>
      <c r="K214" s="25" t="s">
        <v>43</v>
      </c>
      <c r="L214" s="25" t="s">
        <v>43</v>
      </c>
    </row>
    <row r="215" spans="1:12" x14ac:dyDescent="0.25">
      <c r="A215" s="25">
        <v>212</v>
      </c>
      <c r="B215" s="25">
        <v>104</v>
      </c>
      <c r="C215" s="25" t="str">
        <f>INDEX(cursoDisciplina!$A$4:$F$112,MATCH(disciplinaGrade!B215,cursoDisciplina!$A$4:$A$112,0),MATCH(cursoDisciplina!$C$4,cursoDisciplina!$A$4:$F$4,0))</f>
        <v>curso 6</v>
      </c>
      <c r="D215" t="str">
        <f>INDEX(cursoDisciplina!$A$4:$F$112,MATCH(disciplinaGrade!B215,cursoDisciplina!$A$4:$A$112,0),MATCH(cursoDisciplina!$E$4,cursoDisciplina!$A$4:$F$4,0))</f>
        <v>Disciplina 21</v>
      </c>
      <c r="E215" t="s">
        <v>11</v>
      </c>
      <c r="F215" t="s">
        <v>10</v>
      </c>
      <c r="G215" s="25" t="s">
        <v>43</v>
      </c>
      <c r="H215" s="25" t="s">
        <v>43</v>
      </c>
      <c r="I215" s="25" t="s">
        <v>43</v>
      </c>
      <c r="J215" s="25" t="s">
        <v>43</v>
      </c>
      <c r="K215" s="25" t="s">
        <v>43</v>
      </c>
      <c r="L215" s="25" t="s">
        <v>43</v>
      </c>
    </row>
    <row r="216" spans="1:12" x14ac:dyDescent="0.25">
      <c r="A216" s="25">
        <v>213</v>
      </c>
      <c r="B216" s="25">
        <v>105</v>
      </c>
      <c r="C216" s="25" t="str">
        <f>INDEX(cursoDisciplina!$A$4:$F$112,MATCH(disciplinaGrade!B216,cursoDisciplina!$A$4:$A$112,0),MATCH(cursoDisciplina!$C$4,cursoDisciplina!$A$4:$F$4,0))</f>
        <v>curso 6</v>
      </c>
      <c r="D216" t="str">
        <f>INDEX(cursoDisciplina!$A$4:$F$112,MATCH(disciplinaGrade!B216,cursoDisciplina!$A$4:$A$112,0),MATCH(cursoDisciplina!$E$4,cursoDisciplina!$A$4:$F$4,0))</f>
        <v>Disciplina 22</v>
      </c>
      <c r="E216" t="s">
        <v>11</v>
      </c>
      <c r="F216" t="s">
        <v>10</v>
      </c>
      <c r="G216" s="25" t="s">
        <v>43</v>
      </c>
      <c r="H216" s="25" t="s">
        <v>43</v>
      </c>
      <c r="I216" s="25" t="s">
        <v>43</v>
      </c>
      <c r="J216" s="25" t="s">
        <v>43</v>
      </c>
      <c r="K216" s="25" t="s">
        <v>43</v>
      </c>
      <c r="L216" s="25" t="s">
        <v>43</v>
      </c>
    </row>
    <row r="217" spans="1:12" x14ac:dyDescent="0.25">
      <c r="A217" s="25">
        <v>214</v>
      </c>
      <c r="B217" s="25">
        <v>106</v>
      </c>
      <c r="C217" s="25" t="str">
        <f>INDEX(cursoDisciplina!$A$4:$F$112,MATCH(disciplinaGrade!B217,cursoDisciplina!$A$4:$A$112,0),MATCH(cursoDisciplina!$C$4,cursoDisciplina!$A$4:$F$4,0))</f>
        <v>curso 6</v>
      </c>
      <c r="D217" t="str">
        <f>INDEX(cursoDisciplina!$A$4:$F$112,MATCH(disciplinaGrade!B217,cursoDisciplina!$A$4:$A$112,0),MATCH(cursoDisciplina!$E$4,cursoDisciplina!$A$4:$F$4,0))</f>
        <v>Disciplina 23</v>
      </c>
      <c r="E217" t="s">
        <v>11</v>
      </c>
      <c r="F217" t="s">
        <v>10</v>
      </c>
      <c r="G217" s="25" t="s">
        <v>43</v>
      </c>
      <c r="H217" s="25" t="s">
        <v>43</v>
      </c>
      <c r="I217" s="25" t="s">
        <v>43</v>
      </c>
      <c r="J217" s="25" t="s">
        <v>43</v>
      </c>
      <c r="K217" s="25" t="s">
        <v>43</v>
      </c>
      <c r="L217" s="25" t="s">
        <v>43</v>
      </c>
    </row>
    <row r="218" spans="1:12" x14ac:dyDescent="0.25">
      <c r="A218" s="25">
        <v>215</v>
      </c>
      <c r="B218" s="25">
        <v>107</v>
      </c>
      <c r="C218" s="25" t="str">
        <f>INDEX(cursoDisciplina!$A$4:$F$112,MATCH(disciplinaGrade!B218,cursoDisciplina!$A$4:$A$112,0),MATCH(cursoDisciplina!$C$4,cursoDisciplina!$A$4:$F$4,0))</f>
        <v>curso 6</v>
      </c>
      <c r="D218" t="str">
        <f>INDEX(cursoDisciplina!$A$4:$F$112,MATCH(disciplinaGrade!B218,cursoDisciplina!$A$4:$A$112,0),MATCH(cursoDisciplina!$E$4,cursoDisciplina!$A$4:$F$4,0))</f>
        <v>Disciplina 24</v>
      </c>
      <c r="E218" t="s">
        <v>11</v>
      </c>
      <c r="F218" t="s">
        <v>10</v>
      </c>
      <c r="G218" s="25" t="s">
        <v>43</v>
      </c>
      <c r="H218" s="25" t="s">
        <v>43</v>
      </c>
      <c r="I218" s="25" t="s">
        <v>43</v>
      </c>
      <c r="J218" s="25" t="s">
        <v>43</v>
      </c>
      <c r="K218" s="25" t="s">
        <v>43</v>
      </c>
      <c r="L218" s="25" t="s">
        <v>43</v>
      </c>
    </row>
    <row r="219" spans="1:12" x14ac:dyDescent="0.25">
      <c r="A219" s="25">
        <v>216</v>
      </c>
      <c r="B219" s="25">
        <v>108</v>
      </c>
      <c r="C219" s="25" t="str">
        <f>INDEX(cursoDisciplina!$A$4:$F$112,MATCH(disciplinaGrade!B219,cursoDisciplina!$A$4:$A$112,0),MATCH(cursoDisciplina!$C$4,cursoDisciplina!$A$4:$F$4,0))</f>
        <v>curso 6</v>
      </c>
      <c r="D219" t="str">
        <f>INDEX(cursoDisciplina!$A$4:$F$112,MATCH(disciplinaGrade!B219,cursoDisciplina!$A$4:$A$112,0),MATCH(cursoDisciplina!$E$4,cursoDisciplina!$A$4:$F$4,0))</f>
        <v>Disciplina 25</v>
      </c>
      <c r="E219" t="s">
        <v>11</v>
      </c>
      <c r="F219" t="s">
        <v>10</v>
      </c>
      <c r="G219" s="25" t="s">
        <v>43</v>
      </c>
      <c r="H219" s="25" t="s">
        <v>43</v>
      </c>
      <c r="I219" s="25" t="s">
        <v>43</v>
      </c>
      <c r="J219" s="25" t="s">
        <v>43</v>
      </c>
      <c r="K219" s="25" t="s">
        <v>43</v>
      </c>
      <c r="L219" s="25" t="s">
        <v>43</v>
      </c>
    </row>
    <row r="220" spans="1:12" x14ac:dyDescent="0.25">
      <c r="A220" s="25">
        <v>217</v>
      </c>
      <c r="B220" s="25">
        <v>1</v>
      </c>
      <c r="C220" s="25" t="str">
        <f>INDEX(cursoDisciplina!$A$4:$F$112,MATCH(disciplinaGrade!B220,cursoDisciplina!$A$4:$A$112,0),MATCH(cursoDisciplina!$C$4,cursoDisciplina!$A$4:$F$4,0))</f>
        <v>ADS</v>
      </c>
      <c r="D220" t="str">
        <f>INDEX(cursoDisciplina!$A$4:$F$112,MATCH(disciplinaGrade!B220,cursoDisciplina!$A$4:$A$112,0),MATCH(cursoDisciplina!$E$4,cursoDisciplina!$A$4:$F$4,0))</f>
        <v>laboratóeio de engenharia de Software</v>
      </c>
      <c r="E220" t="s">
        <v>11</v>
      </c>
      <c r="F220" t="s">
        <v>10</v>
      </c>
      <c r="G220" s="25" t="s">
        <v>43</v>
      </c>
      <c r="H220" s="25" t="s">
        <v>43</v>
      </c>
      <c r="I220" s="25" t="s">
        <v>43</v>
      </c>
      <c r="J220" s="25" t="s">
        <v>43</v>
      </c>
      <c r="K220" s="25" t="s">
        <v>43</v>
      </c>
      <c r="L220" s="25" t="s">
        <v>43</v>
      </c>
    </row>
    <row r="221" spans="1:12" x14ac:dyDescent="0.25">
      <c r="A221" s="25">
        <v>218</v>
      </c>
      <c r="B221" s="25">
        <v>2</v>
      </c>
      <c r="C221" s="25" t="str">
        <f>INDEX(cursoDisciplina!$A$4:$F$112,MATCH(disciplinaGrade!B221,cursoDisciplina!$A$4:$A$112,0),MATCH(cursoDisciplina!$C$4,cursoDisciplina!$A$4:$F$4,0))</f>
        <v>ADS</v>
      </c>
      <c r="D221" t="str">
        <f>INDEX(cursoDisciplina!$A$4:$F$112,MATCH(disciplinaGrade!B221,cursoDisciplina!$A$4:$A$112,0),MATCH(cursoDisciplina!$E$4,cursoDisciplina!$A$4:$F$4,0))</f>
        <v>Estrutura de Dados</v>
      </c>
      <c r="E221" t="s">
        <v>11</v>
      </c>
      <c r="F221" t="s">
        <v>10</v>
      </c>
      <c r="G221" s="25" t="s">
        <v>43</v>
      </c>
      <c r="H221" s="25" t="s">
        <v>43</v>
      </c>
      <c r="I221" s="25" t="s">
        <v>43</v>
      </c>
      <c r="J221" s="25" t="s">
        <v>43</v>
      </c>
      <c r="K221" s="25" t="s">
        <v>43</v>
      </c>
      <c r="L221" s="25" t="s">
        <v>43</v>
      </c>
    </row>
    <row r="222" spans="1:12" x14ac:dyDescent="0.25">
      <c r="A222" s="25">
        <v>219</v>
      </c>
      <c r="B222" s="25">
        <v>3</v>
      </c>
      <c r="C222" s="25" t="str">
        <f>INDEX(cursoDisciplina!$A$4:$F$112,MATCH(disciplinaGrade!B222,cursoDisciplina!$A$4:$A$112,0),MATCH(cursoDisciplina!$C$4,cursoDisciplina!$A$4:$F$4,0))</f>
        <v>ADS</v>
      </c>
      <c r="D222" t="str">
        <f>INDEX(cursoDisciplina!$A$4:$F$112,MATCH(disciplinaGrade!B222,cursoDisciplina!$A$4:$A$112,0),MATCH(cursoDisciplina!$E$4,cursoDisciplina!$A$4:$F$4,0))</f>
        <v>PEM</v>
      </c>
      <c r="E222" t="s">
        <v>11</v>
      </c>
      <c r="F222" t="s">
        <v>10</v>
      </c>
      <c r="G222" s="25" t="s">
        <v>43</v>
      </c>
      <c r="H222" s="25" t="s">
        <v>43</v>
      </c>
      <c r="I222" s="25" t="s">
        <v>43</v>
      </c>
      <c r="J222" s="25" t="s">
        <v>43</v>
      </c>
      <c r="K222" s="25" t="s">
        <v>43</v>
      </c>
      <c r="L222" s="25" t="s">
        <v>43</v>
      </c>
    </row>
    <row r="223" spans="1:12" x14ac:dyDescent="0.25">
      <c r="A223" s="25">
        <v>220</v>
      </c>
      <c r="B223" s="25">
        <v>4</v>
      </c>
      <c r="C223" s="25" t="str">
        <f>INDEX(cursoDisciplina!$A$4:$F$112,MATCH(disciplinaGrade!B223,cursoDisciplina!$A$4:$A$112,0),MATCH(cursoDisciplina!$C$4,cursoDisciplina!$A$4:$F$4,0))</f>
        <v>BigData</v>
      </c>
      <c r="D223" t="str">
        <f>INDEX(cursoDisciplina!$A$4:$F$112,MATCH(disciplinaGrade!B223,cursoDisciplina!$A$4:$A$112,0),MATCH(cursoDisciplina!$E$4,cursoDisciplina!$A$4:$F$4,0))</f>
        <v>Estrutura de Dados</v>
      </c>
      <c r="E223" t="s">
        <v>11</v>
      </c>
      <c r="F223" t="s">
        <v>10</v>
      </c>
      <c r="G223" s="25" t="s">
        <v>43</v>
      </c>
      <c r="H223" s="25" t="s">
        <v>43</v>
      </c>
      <c r="I223" s="25" t="s">
        <v>43</v>
      </c>
      <c r="J223" s="25" t="s">
        <v>43</v>
      </c>
      <c r="K223" s="25" t="s">
        <v>43</v>
      </c>
      <c r="L223" s="25" t="s">
        <v>43</v>
      </c>
    </row>
    <row r="224" spans="1:12" x14ac:dyDescent="0.25">
      <c r="A224" s="25">
        <v>221</v>
      </c>
      <c r="B224" s="25">
        <v>5</v>
      </c>
      <c r="C224" s="25" t="str">
        <f>INDEX(cursoDisciplina!$A$4:$F$112,MATCH(disciplinaGrade!B224,cursoDisciplina!$A$4:$A$112,0),MATCH(cursoDisciplina!$C$4,cursoDisciplina!$A$4:$F$4,0))</f>
        <v>ADS</v>
      </c>
      <c r="D224" t="str">
        <f>INDEX(cursoDisciplina!$A$4:$F$112,MATCH(disciplinaGrade!B224,cursoDisciplina!$A$4:$A$112,0),MATCH(cursoDisciplina!$E$4,cursoDisciplina!$A$4:$F$4,0))</f>
        <v>Disciplina 5</v>
      </c>
      <c r="E224" t="s">
        <v>11</v>
      </c>
      <c r="F224" t="s">
        <v>10</v>
      </c>
      <c r="G224" s="25" t="s">
        <v>43</v>
      </c>
      <c r="H224" s="25" t="s">
        <v>43</v>
      </c>
      <c r="I224" s="25" t="s">
        <v>43</v>
      </c>
      <c r="J224" s="25" t="s">
        <v>43</v>
      </c>
      <c r="K224" s="25" t="s">
        <v>43</v>
      </c>
      <c r="L224" s="25" t="s">
        <v>43</v>
      </c>
    </row>
    <row r="225" spans="1:12" x14ac:dyDescent="0.25">
      <c r="A225" s="25">
        <v>222</v>
      </c>
      <c r="B225" s="25">
        <v>6</v>
      </c>
      <c r="C225" s="25" t="str">
        <f>INDEX(cursoDisciplina!$A$4:$F$112,MATCH(disciplinaGrade!B225,cursoDisciplina!$A$4:$A$112,0),MATCH(cursoDisciplina!$C$4,cursoDisciplina!$A$4:$F$4,0))</f>
        <v>ADS</v>
      </c>
      <c r="D225" t="str">
        <f>INDEX(cursoDisciplina!$A$4:$F$112,MATCH(disciplinaGrade!B225,cursoDisciplina!$A$4:$A$112,0),MATCH(cursoDisciplina!$E$4,cursoDisciplina!$A$4:$F$4,0))</f>
        <v>Disciplina 6</v>
      </c>
      <c r="E225" t="s">
        <v>11</v>
      </c>
      <c r="F225" t="s">
        <v>10</v>
      </c>
      <c r="G225" s="25" t="s">
        <v>43</v>
      </c>
      <c r="H225" s="25" t="s">
        <v>43</v>
      </c>
      <c r="I225" s="25" t="s">
        <v>43</v>
      </c>
      <c r="J225" s="25" t="s">
        <v>43</v>
      </c>
      <c r="K225" s="25" t="s">
        <v>43</v>
      </c>
      <c r="L225" s="25" t="s">
        <v>43</v>
      </c>
    </row>
    <row r="226" spans="1:12" x14ac:dyDescent="0.25">
      <c r="A226" s="25">
        <v>223</v>
      </c>
      <c r="B226" s="25">
        <v>7</v>
      </c>
      <c r="C226" s="25" t="str">
        <f>INDEX(cursoDisciplina!$A$4:$F$112,MATCH(disciplinaGrade!B226,cursoDisciplina!$A$4:$A$112,0),MATCH(cursoDisciplina!$C$4,cursoDisciplina!$A$4:$F$4,0))</f>
        <v>ADS</v>
      </c>
      <c r="D226" t="str">
        <f>INDEX(cursoDisciplina!$A$4:$F$112,MATCH(disciplinaGrade!B226,cursoDisciplina!$A$4:$A$112,0),MATCH(cursoDisciplina!$E$4,cursoDisciplina!$A$4:$F$4,0))</f>
        <v>Disciplina 7</v>
      </c>
      <c r="E226" t="s">
        <v>11</v>
      </c>
      <c r="F226" t="s">
        <v>10</v>
      </c>
      <c r="G226" s="25" t="s">
        <v>43</v>
      </c>
      <c r="H226" s="25" t="s">
        <v>43</v>
      </c>
      <c r="I226" s="25" t="s">
        <v>43</v>
      </c>
      <c r="J226" s="25" t="s">
        <v>43</v>
      </c>
      <c r="K226" s="25" t="s">
        <v>43</v>
      </c>
      <c r="L226" s="25" t="s">
        <v>43</v>
      </c>
    </row>
    <row r="227" spans="1:12" x14ac:dyDescent="0.25">
      <c r="A227" s="25">
        <v>224</v>
      </c>
      <c r="B227" s="25">
        <v>8</v>
      </c>
      <c r="C227" s="25" t="str">
        <f>INDEX(cursoDisciplina!$A$4:$F$112,MATCH(disciplinaGrade!B227,cursoDisciplina!$A$4:$A$112,0),MATCH(cursoDisciplina!$C$4,cursoDisciplina!$A$4:$F$4,0))</f>
        <v>ADS</v>
      </c>
      <c r="D227" t="str">
        <f>INDEX(cursoDisciplina!$A$4:$F$112,MATCH(disciplinaGrade!B227,cursoDisciplina!$A$4:$A$112,0),MATCH(cursoDisciplina!$E$4,cursoDisciplina!$A$4:$F$4,0))</f>
        <v>Disciplina 8</v>
      </c>
      <c r="E227" t="s">
        <v>11</v>
      </c>
      <c r="F227" t="s">
        <v>10</v>
      </c>
      <c r="G227" s="25" t="s">
        <v>43</v>
      </c>
      <c r="H227" s="25" t="s">
        <v>43</v>
      </c>
      <c r="I227" s="25" t="s">
        <v>43</v>
      </c>
      <c r="J227" s="25" t="s">
        <v>43</v>
      </c>
      <c r="K227" s="25" t="s">
        <v>43</v>
      </c>
      <c r="L227" s="25" t="s">
        <v>43</v>
      </c>
    </row>
    <row r="228" spans="1:12" x14ac:dyDescent="0.25">
      <c r="A228" s="25">
        <v>225</v>
      </c>
      <c r="B228" s="25">
        <v>9</v>
      </c>
      <c r="C228" s="25" t="str">
        <f>INDEX(cursoDisciplina!$A$4:$F$112,MATCH(disciplinaGrade!B228,cursoDisciplina!$A$4:$A$112,0),MATCH(cursoDisciplina!$C$4,cursoDisciplina!$A$4:$F$4,0))</f>
        <v>ADS</v>
      </c>
      <c r="D228" t="str">
        <f>INDEX(cursoDisciplina!$A$4:$F$112,MATCH(disciplinaGrade!B228,cursoDisciplina!$A$4:$A$112,0),MATCH(cursoDisciplina!$E$4,cursoDisciplina!$A$4:$F$4,0))</f>
        <v>Disciplina 9</v>
      </c>
      <c r="E228" t="s">
        <v>11</v>
      </c>
      <c r="F228" t="s">
        <v>10</v>
      </c>
      <c r="G228" s="25" t="s">
        <v>43</v>
      </c>
      <c r="H228" s="25" t="s">
        <v>43</v>
      </c>
      <c r="I228" s="25" t="s">
        <v>43</v>
      </c>
      <c r="J228" s="25" t="s">
        <v>43</v>
      </c>
      <c r="K228" s="25" t="s">
        <v>43</v>
      </c>
      <c r="L228" s="25" t="s">
        <v>43</v>
      </c>
    </row>
    <row r="229" spans="1:12" x14ac:dyDescent="0.25">
      <c r="A229" s="25">
        <v>226</v>
      </c>
      <c r="B229" s="25">
        <v>10</v>
      </c>
      <c r="C229" s="25" t="str">
        <f>INDEX(cursoDisciplina!$A$4:$F$112,MATCH(disciplinaGrade!B229,cursoDisciplina!$A$4:$A$112,0),MATCH(cursoDisciplina!$C$4,cursoDisciplina!$A$4:$F$4,0))</f>
        <v>ADS</v>
      </c>
      <c r="D229" t="str">
        <f>INDEX(cursoDisciplina!$A$4:$F$112,MATCH(disciplinaGrade!B229,cursoDisciplina!$A$4:$A$112,0),MATCH(cursoDisciplina!$E$4,cursoDisciplina!$A$4:$F$4,0))</f>
        <v>Disciplina 10</v>
      </c>
      <c r="E229" t="s">
        <v>11</v>
      </c>
      <c r="F229" t="s">
        <v>10</v>
      </c>
      <c r="G229" s="25" t="s">
        <v>43</v>
      </c>
      <c r="H229" s="25" t="s">
        <v>43</v>
      </c>
      <c r="I229" s="25" t="s">
        <v>43</v>
      </c>
      <c r="J229" s="25" t="s">
        <v>43</v>
      </c>
      <c r="K229" s="25" t="s">
        <v>43</v>
      </c>
      <c r="L229" s="25" t="s">
        <v>43</v>
      </c>
    </row>
    <row r="230" spans="1:12" x14ac:dyDescent="0.25">
      <c r="A230" s="25">
        <v>227</v>
      </c>
      <c r="B230" s="25">
        <v>11</v>
      </c>
      <c r="C230" s="25" t="str">
        <f>INDEX(cursoDisciplina!$A$4:$F$112,MATCH(disciplinaGrade!B230,cursoDisciplina!$A$4:$A$112,0),MATCH(cursoDisciplina!$C$4,cursoDisciplina!$A$4:$F$4,0))</f>
        <v>ADS</v>
      </c>
      <c r="D230" t="str">
        <f>INDEX(cursoDisciplina!$A$4:$F$112,MATCH(disciplinaGrade!B230,cursoDisciplina!$A$4:$A$112,0),MATCH(cursoDisciplina!$E$4,cursoDisciplina!$A$4:$F$4,0))</f>
        <v>Disciplina 11</v>
      </c>
      <c r="E230" t="s">
        <v>11</v>
      </c>
      <c r="F230" t="s">
        <v>10</v>
      </c>
      <c r="G230" s="25" t="s">
        <v>43</v>
      </c>
      <c r="H230" s="25" t="s">
        <v>43</v>
      </c>
      <c r="I230" s="25" t="s">
        <v>43</v>
      </c>
      <c r="J230" s="25" t="s">
        <v>43</v>
      </c>
      <c r="K230" s="25" t="s">
        <v>43</v>
      </c>
      <c r="L230" s="25" t="s">
        <v>43</v>
      </c>
    </row>
    <row r="231" spans="1:12" x14ac:dyDescent="0.25">
      <c r="A231" s="25">
        <v>228</v>
      </c>
      <c r="B231" s="25">
        <v>12</v>
      </c>
      <c r="C231" s="25" t="str">
        <f>INDEX(cursoDisciplina!$A$4:$F$112,MATCH(disciplinaGrade!B231,cursoDisciplina!$A$4:$A$112,0),MATCH(cursoDisciplina!$C$4,cursoDisciplina!$A$4:$F$4,0))</f>
        <v>ADS</v>
      </c>
      <c r="D231" t="str">
        <f>INDEX(cursoDisciplina!$A$4:$F$112,MATCH(disciplinaGrade!B231,cursoDisciplina!$A$4:$A$112,0),MATCH(cursoDisciplina!$E$4,cursoDisciplina!$A$4:$F$4,0))</f>
        <v>Disciplina 12</v>
      </c>
      <c r="E231" t="s">
        <v>11</v>
      </c>
      <c r="F231" t="s">
        <v>10</v>
      </c>
      <c r="G231" s="25" t="s">
        <v>43</v>
      </c>
      <c r="H231" s="25" t="s">
        <v>43</v>
      </c>
      <c r="I231" s="25" t="s">
        <v>43</v>
      </c>
      <c r="J231" s="25" t="s">
        <v>43</v>
      </c>
      <c r="K231" s="25" t="s">
        <v>43</v>
      </c>
      <c r="L231" s="25" t="s">
        <v>43</v>
      </c>
    </row>
    <row r="232" spans="1:12" x14ac:dyDescent="0.25">
      <c r="A232" s="25">
        <v>229</v>
      </c>
      <c r="B232" s="25">
        <v>13</v>
      </c>
      <c r="C232" s="25" t="str">
        <f>INDEX(cursoDisciplina!$A$4:$F$112,MATCH(disciplinaGrade!B232,cursoDisciplina!$A$4:$A$112,0),MATCH(cursoDisciplina!$C$4,cursoDisciplina!$A$4:$F$4,0))</f>
        <v>ADS</v>
      </c>
      <c r="D232" t="str">
        <f>INDEX(cursoDisciplina!$A$4:$F$112,MATCH(disciplinaGrade!B232,cursoDisciplina!$A$4:$A$112,0),MATCH(cursoDisciplina!$E$4,cursoDisciplina!$A$4:$F$4,0))</f>
        <v>Disciplina 13</v>
      </c>
      <c r="E232" t="s">
        <v>11</v>
      </c>
      <c r="F232" t="s">
        <v>10</v>
      </c>
      <c r="G232" s="25" t="s">
        <v>43</v>
      </c>
      <c r="H232" s="25" t="s">
        <v>43</v>
      </c>
      <c r="I232" s="25" t="s">
        <v>43</v>
      </c>
      <c r="J232" s="25" t="s">
        <v>43</v>
      </c>
      <c r="K232" s="25" t="s">
        <v>43</v>
      </c>
      <c r="L232" s="25" t="s">
        <v>43</v>
      </c>
    </row>
    <row r="233" spans="1:12" x14ac:dyDescent="0.25">
      <c r="A233" s="25">
        <v>230</v>
      </c>
      <c r="B233" s="25">
        <v>14</v>
      </c>
      <c r="C233" s="25" t="str">
        <f>INDEX(cursoDisciplina!$A$4:$F$112,MATCH(disciplinaGrade!B233,cursoDisciplina!$A$4:$A$112,0),MATCH(cursoDisciplina!$C$4,cursoDisciplina!$A$4:$F$4,0))</f>
        <v>ADS</v>
      </c>
      <c r="D233" t="str">
        <f>INDEX(cursoDisciplina!$A$4:$F$112,MATCH(disciplinaGrade!B233,cursoDisciplina!$A$4:$A$112,0),MATCH(cursoDisciplina!$E$4,cursoDisciplina!$A$4:$F$4,0))</f>
        <v>Disciplina 14</v>
      </c>
      <c r="E233" t="s">
        <v>11</v>
      </c>
      <c r="F233" t="s">
        <v>10</v>
      </c>
      <c r="G233" s="25" t="s">
        <v>43</v>
      </c>
      <c r="H233" s="25" t="s">
        <v>43</v>
      </c>
      <c r="I233" s="25" t="s">
        <v>43</v>
      </c>
      <c r="J233" s="25" t="s">
        <v>43</v>
      </c>
      <c r="K233" s="25" t="s">
        <v>43</v>
      </c>
      <c r="L233" s="25" t="s">
        <v>43</v>
      </c>
    </row>
    <row r="234" spans="1:12" x14ac:dyDescent="0.25">
      <c r="A234" s="25">
        <v>231</v>
      </c>
      <c r="B234" s="25">
        <v>15</v>
      </c>
      <c r="C234" s="25" t="str">
        <f>INDEX(cursoDisciplina!$A$4:$F$112,MATCH(disciplinaGrade!B234,cursoDisciplina!$A$4:$A$112,0),MATCH(cursoDisciplina!$C$4,cursoDisciplina!$A$4:$F$4,0))</f>
        <v>ADS</v>
      </c>
      <c r="D234" t="str">
        <f>INDEX(cursoDisciplina!$A$4:$F$112,MATCH(disciplinaGrade!B234,cursoDisciplina!$A$4:$A$112,0),MATCH(cursoDisciplina!$E$4,cursoDisciplina!$A$4:$F$4,0))</f>
        <v>Disciplina 15</v>
      </c>
      <c r="E234" t="s">
        <v>11</v>
      </c>
      <c r="F234" t="s">
        <v>10</v>
      </c>
      <c r="G234" s="25" t="s">
        <v>43</v>
      </c>
      <c r="H234" s="25" t="s">
        <v>43</v>
      </c>
      <c r="I234" s="25" t="s">
        <v>43</v>
      </c>
      <c r="J234" s="25" t="s">
        <v>43</v>
      </c>
      <c r="K234" s="25" t="s">
        <v>43</v>
      </c>
      <c r="L234" s="25" t="s">
        <v>43</v>
      </c>
    </row>
    <row r="235" spans="1:12" x14ac:dyDescent="0.25">
      <c r="A235" s="25">
        <v>232</v>
      </c>
      <c r="B235" s="25">
        <v>16</v>
      </c>
      <c r="C235" s="25" t="str">
        <f>INDEX(cursoDisciplina!$A$4:$F$112,MATCH(disciplinaGrade!B235,cursoDisciplina!$A$4:$A$112,0),MATCH(cursoDisciplina!$C$4,cursoDisciplina!$A$4:$F$4,0))</f>
        <v>BigData</v>
      </c>
      <c r="D235" t="str">
        <f>INDEX(cursoDisciplina!$A$4:$F$112,MATCH(disciplinaGrade!B235,cursoDisciplina!$A$4:$A$112,0),MATCH(cursoDisciplina!$E$4,cursoDisciplina!$A$4:$F$4,0))</f>
        <v>laboratóeio de engenharia de Software</v>
      </c>
      <c r="E235" t="s">
        <v>11</v>
      </c>
      <c r="F235" t="s">
        <v>10</v>
      </c>
      <c r="G235" s="25" t="s">
        <v>43</v>
      </c>
      <c r="H235" s="25" t="s">
        <v>43</v>
      </c>
      <c r="I235" s="25" t="s">
        <v>43</v>
      </c>
      <c r="J235" s="25" t="s">
        <v>43</v>
      </c>
      <c r="K235" s="25" t="s">
        <v>43</v>
      </c>
      <c r="L235" s="25" t="s">
        <v>43</v>
      </c>
    </row>
    <row r="236" spans="1:12" x14ac:dyDescent="0.25">
      <c r="A236" s="25">
        <v>233</v>
      </c>
      <c r="B236" s="25">
        <v>17</v>
      </c>
      <c r="C236" s="25" t="str">
        <f>INDEX(cursoDisciplina!$A$4:$F$112,MATCH(disciplinaGrade!B236,cursoDisciplina!$A$4:$A$112,0),MATCH(cursoDisciplina!$C$4,cursoDisciplina!$A$4:$F$4,0))</f>
        <v>BigData</v>
      </c>
      <c r="D236" t="str">
        <f>INDEX(cursoDisciplina!$A$4:$F$112,MATCH(disciplinaGrade!B236,cursoDisciplina!$A$4:$A$112,0),MATCH(cursoDisciplina!$E$4,cursoDisciplina!$A$4:$F$4,0))</f>
        <v>Estrutura de Dados</v>
      </c>
      <c r="E236" t="s">
        <v>11</v>
      </c>
      <c r="F236" t="s">
        <v>10</v>
      </c>
      <c r="G236" s="25" t="s">
        <v>43</v>
      </c>
      <c r="H236" s="25" t="s">
        <v>43</v>
      </c>
      <c r="I236" s="25" t="s">
        <v>43</v>
      </c>
      <c r="J236" s="25" t="s">
        <v>43</v>
      </c>
      <c r="K236" s="25" t="s">
        <v>43</v>
      </c>
      <c r="L236" s="25" t="s">
        <v>43</v>
      </c>
    </row>
    <row r="237" spans="1:12" x14ac:dyDescent="0.25">
      <c r="A237" s="25">
        <v>234</v>
      </c>
      <c r="B237" s="25">
        <v>18</v>
      </c>
      <c r="C237" s="25" t="str">
        <f>INDEX(cursoDisciplina!$A$4:$F$112,MATCH(disciplinaGrade!B237,cursoDisciplina!$A$4:$A$112,0),MATCH(cursoDisciplina!$C$4,cursoDisciplina!$A$4:$F$4,0))</f>
        <v>BigData</v>
      </c>
      <c r="D237" t="str">
        <f>INDEX(cursoDisciplina!$A$4:$F$112,MATCH(disciplinaGrade!B237,cursoDisciplina!$A$4:$A$112,0),MATCH(cursoDisciplina!$E$4,cursoDisciplina!$A$4:$F$4,0))</f>
        <v>PEM</v>
      </c>
      <c r="E237" t="s">
        <v>11</v>
      </c>
      <c r="F237" t="s">
        <v>10</v>
      </c>
      <c r="G237" s="25" t="s">
        <v>43</v>
      </c>
      <c r="H237" s="25" t="s">
        <v>43</v>
      </c>
      <c r="I237" s="25" t="s">
        <v>43</v>
      </c>
      <c r="J237" s="25" t="s">
        <v>43</v>
      </c>
      <c r="K237" s="25" t="s">
        <v>43</v>
      </c>
      <c r="L237" s="25" t="s">
        <v>43</v>
      </c>
    </row>
    <row r="238" spans="1:12" x14ac:dyDescent="0.25">
      <c r="A238" s="25">
        <v>235</v>
      </c>
      <c r="B238" s="25">
        <v>19</v>
      </c>
      <c r="C238" s="25" t="str">
        <f>INDEX(cursoDisciplina!$A$4:$F$112,MATCH(disciplinaGrade!B238,cursoDisciplina!$A$4:$A$112,0),MATCH(cursoDisciplina!$C$4,cursoDisciplina!$A$4:$F$4,0))</f>
        <v>BigData</v>
      </c>
      <c r="D238" t="str">
        <f>INDEX(cursoDisciplina!$A$4:$F$112,MATCH(disciplinaGrade!B238,cursoDisciplina!$A$4:$A$112,0),MATCH(cursoDisciplina!$E$4,cursoDisciplina!$A$4:$F$4,0))</f>
        <v>Disciplina 4</v>
      </c>
      <c r="E238" t="s">
        <v>11</v>
      </c>
      <c r="F238" t="s">
        <v>10</v>
      </c>
      <c r="G238" s="25" t="s">
        <v>43</v>
      </c>
      <c r="H238" s="25" t="s">
        <v>43</v>
      </c>
      <c r="I238" s="25" t="s">
        <v>43</v>
      </c>
      <c r="J238" s="25" t="s">
        <v>43</v>
      </c>
      <c r="K238" s="25" t="s">
        <v>43</v>
      </c>
      <c r="L238" s="25" t="s">
        <v>43</v>
      </c>
    </row>
    <row r="239" spans="1:12" x14ac:dyDescent="0.25">
      <c r="A239" s="25">
        <v>236</v>
      </c>
      <c r="B239" s="25">
        <v>20</v>
      </c>
      <c r="C239" s="25" t="str">
        <f>INDEX(cursoDisciplina!$A$4:$F$112,MATCH(disciplinaGrade!B239,cursoDisciplina!$A$4:$A$112,0),MATCH(cursoDisciplina!$C$4,cursoDisciplina!$A$4:$F$4,0))</f>
        <v>BigData</v>
      </c>
      <c r="D239" t="str">
        <f>INDEX(cursoDisciplina!$A$4:$F$112,MATCH(disciplinaGrade!B239,cursoDisciplina!$A$4:$A$112,0),MATCH(cursoDisciplina!$E$4,cursoDisciplina!$A$4:$F$4,0))</f>
        <v>Disciplina 5</v>
      </c>
      <c r="E239" t="s">
        <v>11</v>
      </c>
      <c r="F239" t="s">
        <v>10</v>
      </c>
      <c r="G239" s="25" t="s">
        <v>43</v>
      </c>
      <c r="H239" s="25" t="s">
        <v>43</v>
      </c>
      <c r="I239" s="25" t="s">
        <v>43</v>
      </c>
      <c r="J239" s="25" t="s">
        <v>43</v>
      </c>
      <c r="K239" s="25" t="s">
        <v>43</v>
      </c>
      <c r="L239" s="25" t="s">
        <v>43</v>
      </c>
    </row>
    <row r="240" spans="1:12" x14ac:dyDescent="0.25">
      <c r="A240" s="25">
        <v>237</v>
      </c>
      <c r="B240" s="25">
        <v>21</v>
      </c>
      <c r="C240" s="25" t="str">
        <f>INDEX(cursoDisciplina!$A$4:$F$112,MATCH(disciplinaGrade!B240,cursoDisciplina!$A$4:$A$112,0),MATCH(cursoDisciplina!$C$4,cursoDisciplina!$A$4:$F$4,0))</f>
        <v>BigData</v>
      </c>
      <c r="D240" t="str">
        <f>INDEX(cursoDisciplina!$A$4:$F$112,MATCH(disciplinaGrade!B240,cursoDisciplina!$A$4:$A$112,0),MATCH(cursoDisciplina!$E$4,cursoDisciplina!$A$4:$F$4,0))</f>
        <v>Disciplina 6</v>
      </c>
      <c r="E240" t="s">
        <v>11</v>
      </c>
      <c r="F240" t="s">
        <v>10</v>
      </c>
      <c r="G240" s="25" t="s">
        <v>43</v>
      </c>
      <c r="H240" s="25" t="s">
        <v>43</v>
      </c>
      <c r="I240" s="25" t="s">
        <v>43</v>
      </c>
      <c r="J240" s="25" t="s">
        <v>43</v>
      </c>
      <c r="K240" s="25" t="s">
        <v>43</v>
      </c>
      <c r="L240" s="25" t="s">
        <v>43</v>
      </c>
    </row>
    <row r="241" spans="1:12" x14ac:dyDescent="0.25">
      <c r="A241" s="25">
        <v>238</v>
      </c>
      <c r="B241" s="25">
        <v>22</v>
      </c>
      <c r="C241" s="25" t="str">
        <f>INDEX(cursoDisciplina!$A$4:$F$112,MATCH(disciplinaGrade!B241,cursoDisciplina!$A$4:$A$112,0),MATCH(cursoDisciplina!$C$4,cursoDisciplina!$A$4:$F$4,0))</f>
        <v>BigData</v>
      </c>
      <c r="D241" t="str">
        <f>INDEX(cursoDisciplina!$A$4:$F$112,MATCH(disciplinaGrade!B241,cursoDisciplina!$A$4:$A$112,0),MATCH(cursoDisciplina!$E$4,cursoDisciplina!$A$4:$F$4,0))</f>
        <v>Disciplina 7</v>
      </c>
      <c r="E241" t="s">
        <v>11</v>
      </c>
      <c r="F241" t="s">
        <v>10</v>
      </c>
      <c r="G241" s="25" t="s">
        <v>43</v>
      </c>
      <c r="H241" s="25" t="s">
        <v>43</v>
      </c>
      <c r="I241" s="25" t="s">
        <v>43</v>
      </c>
      <c r="J241" s="25" t="s">
        <v>43</v>
      </c>
      <c r="K241" s="25" t="s">
        <v>43</v>
      </c>
      <c r="L241" s="25" t="s">
        <v>43</v>
      </c>
    </row>
    <row r="242" spans="1:12" x14ac:dyDescent="0.25">
      <c r="A242" s="25">
        <v>239</v>
      </c>
      <c r="B242" s="25">
        <v>23</v>
      </c>
      <c r="C242" s="25" t="str">
        <f>INDEX(cursoDisciplina!$A$4:$F$112,MATCH(disciplinaGrade!B242,cursoDisciplina!$A$4:$A$112,0),MATCH(cursoDisciplina!$C$4,cursoDisciplina!$A$4:$F$4,0))</f>
        <v>BigData</v>
      </c>
      <c r="D242" t="str">
        <f>INDEX(cursoDisciplina!$A$4:$F$112,MATCH(disciplinaGrade!B242,cursoDisciplina!$A$4:$A$112,0),MATCH(cursoDisciplina!$E$4,cursoDisciplina!$A$4:$F$4,0))</f>
        <v>Disciplina 8</v>
      </c>
      <c r="E242" t="s">
        <v>11</v>
      </c>
      <c r="F242" t="s">
        <v>10</v>
      </c>
      <c r="G242" s="25" t="s">
        <v>43</v>
      </c>
      <c r="H242" s="25" t="s">
        <v>43</v>
      </c>
      <c r="I242" s="25" t="s">
        <v>43</v>
      </c>
      <c r="J242" s="25" t="s">
        <v>43</v>
      </c>
      <c r="K242" s="25" t="s">
        <v>43</v>
      </c>
      <c r="L242" s="25" t="s">
        <v>43</v>
      </c>
    </row>
    <row r="243" spans="1:12" x14ac:dyDescent="0.25">
      <c r="A243" s="25">
        <v>240</v>
      </c>
      <c r="B243" s="25">
        <v>24</v>
      </c>
      <c r="C243" s="25" t="str">
        <f>INDEX(cursoDisciplina!$A$4:$F$112,MATCH(disciplinaGrade!B243,cursoDisciplina!$A$4:$A$112,0),MATCH(cursoDisciplina!$C$4,cursoDisciplina!$A$4:$F$4,0))</f>
        <v>BigData</v>
      </c>
      <c r="D243" t="str">
        <f>INDEX(cursoDisciplina!$A$4:$F$112,MATCH(disciplinaGrade!B243,cursoDisciplina!$A$4:$A$112,0),MATCH(cursoDisciplina!$E$4,cursoDisciplina!$A$4:$F$4,0))</f>
        <v>Disciplina 9</v>
      </c>
      <c r="E243" t="s">
        <v>11</v>
      </c>
      <c r="F243" t="s">
        <v>10</v>
      </c>
      <c r="G243" s="25" t="s">
        <v>43</v>
      </c>
      <c r="H243" s="25" t="s">
        <v>43</v>
      </c>
      <c r="I243" s="25" t="s">
        <v>43</v>
      </c>
      <c r="J243" s="25" t="s">
        <v>43</v>
      </c>
      <c r="K243" s="25" t="s">
        <v>43</v>
      </c>
      <c r="L243" s="25" t="s">
        <v>43</v>
      </c>
    </row>
    <row r="244" spans="1:12" x14ac:dyDescent="0.25">
      <c r="A244" s="25">
        <v>241</v>
      </c>
      <c r="B244" s="25">
        <v>25</v>
      </c>
      <c r="C244" s="25" t="str">
        <f>INDEX(cursoDisciplina!$A$4:$F$112,MATCH(disciplinaGrade!B244,cursoDisciplina!$A$4:$A$112,0),MATCH(cursoDisciplina!$C$4,cursoDisciplina!$A$4:$F$4,0))</f>
        <v>BigData</v>
      </c>
      <c r="D244" t="str">
        <f>INDEX(cursoDisciplina!$A$4:$F$112,MATCH(disciplinaGrade!B244,cursoDisciplina!$A$4:$A$112,0),MATCH(cursoDisciplina!$E$4,cursoDisciplina!$A$4:$F$4,0))</f>
        <v>Disciplina 10</v>
      </c>
      <c r="E244" t="s">
        <v>11</v>
      </c>
      <c r="F244" t="s">
        <v>10</v>
      </c>
      <c r="G244" s="25" t="s">
        <v>43</v>
      </c>
      <c r="H244" s="25" t="s">
        <v>43</v>
      </c>
      <c r="I244" s="25" t="s">
        <v>43</v>
      </c>
      <c r="J244" s="25" t="s">
        <v>43</v>
      </c>
      <c r="K244" s="25" t="s">
        <v>43</v>
      </c>
      <c r="L244" s="25" t="s">
        <v>43</v>
      </c>
    </row>
    <row r="245" spans="1:12" x14ac:dyDescent="0.25">
      <c r="A245" s="25">
        <v>242</v>
      </c>
      <c r="B245" s="25">
        <v>26</v>
      </c>
      <c r="C245" s="25" t="str">
        <f>INDEX(cursoDisciplina!$A$4:$F$112,MATCH(disciplinaGrade!B245,cursoDisciplina!$A$4:$A$112,0),MATCH(cursoDisciplina!$C$4,cursoDisciplina!$A$4:$F$4,0))</f>
        <v>BigData</v>
      </c>
      <c r="D245" t="str">
        <f>INDEX(cursoDisciplina!$A$4:$F$112,MATCH(disciplinaGrade!B245,cursoDisciplina!$A$4:$A$112,0),MATCH(cursoDisciplina!$E$4,cursoDisciplina!$A$4:$F$4,0))</f>
        <v>Disciplina 11</v>
      </c>
      <c r="E245" t="s">
        <v>11</v>
      </c>
      <c r="F245" t="s">
        <v>10</v>
      </c>
      <c r="G245" s="25" t="s">
        <v>43</v>
      </c>
      <c r="H245" s="25" t="s">
        <v>43</v>
      </c>
      <c r="I245" s="25" t="s">
        <v>43</v>
      </c>
      <c r="J245" s="25" t="s">
        <v>43</v>
      </c>
      <c r="K245" s="25" t="s">
        <v>43</v>
      </c>
      <c r="L245" s="25" t="s">
        <v>43</v>
      </c>
    </row>
    <row r="246" spans="1:12" x14ac:dyDescent="0.25">
      <c r="A246" s="25">
        <v>243</v>
      </c>
      <c r="B246" s="25">
        <v>27</v>
      </c>
      <c r="C246" s="25" t="str">
        <f>INDEX(cursoDisciplina!$A$4:$F$112,MATCH(disciplinaGrade!B246,cursoDisciplina!$A$4:$A$112,0),MATCH(cursoDisciplina!$C$4,cursoDisciplina!$A$4:$F$4,0))</f>
        <v>BigData</v>
      </c>
      <c r="D246" t="str">
        <f>INDEX(cursoDisciplina!$A$4:$F$112,MATCH(disciplinaGrade!B246,cursoDisciplina!$A$4:$A$112,0),MATCH(cursoDisciplina!$E$4,cursoDisciplina!$A$4:$F$4,0))</f>
        <v>Disciplina 12</v>
      </c>
      <c r="E246" t="s">
        <v>11</v>
      </c>
      <c r="F246" t="s">
        <v>10</v>
      </c>
      <c r="G246" s="25" t="s">
        <v>43</v>
      </c>
      <c r="H246" s="25" t="s">
        <v>43</v>
      </c>
      <c r="I246" s="25" t="s">
        <v>43</v>
      </c>
      <c r="J246" s="25" t="s">
        <v>43</v>
      </c>
      <c r="K246" s="25" t="s">
        <v>43</v>
      </c>
      <c r="L246" s="25" t="s">
        <v>43</v>
      </c>
    </row>
    <row r="247" spans="1:12" x14ac:dyDescent="0.25">
      <c r="A247" s="25">
        <v>244</v>
      </c>
      <c r="B247" s="25">
        <v>28</v>
      </c>
      <c r="C247" s="25" t="str">
        <f>INDEX(cursoDisciplina!$A$4:$F$112,MATCH(disciplinaGrade!B247,cursoDisciplina!$A$4:$A$112,0),MATCH(cursoDisciplina!$C$4,cursoDisciplina!$A$4:$F$4,0))</f>
        <v>BigData</v>
      </c>
      <c r="D247" t="str">
        <f>INDEX(cursoDisciplina!$A$4:$F$112,MATCH(disciplinaGrade!B247,cursoDisciplina!$A$4:$A$112,0),MATCH(cursoDisciplina!$E$4,cursoDisciplina!$A$4:$F$4,0))</f>
        <v>Disciplina 13</v>
      </c>
      <c r="E247" t="s">
        <v>11</v>
      </c>
      <c r="F247" t="s">
        <v>10</v>
      </c>
      <c r="G247" s="25" t="s">
        <v>43</v>
      </c>
      <c r="H247" s="25" t="s">
        <v>43</v>
      </c>
      <c r="I247" s="25" t="s">
        <v>43</v>
      </c>
      <c r="J247" s="25" t="s">
        <v>43</v>
      </c>
      <c r="K247" s="25" t="s">
        <v>43</v>
      </c>
      <c r="L247" s="25" t="s">
        <v>43</v>
      </c>
    </row>
    <row r="248" spans="1:12" x14ac:dyDescent="0.25">
      <c r="A248" s="25">
        <v>245</v>
      </c>
      <c r="B248" s="25">
        <v>29</v>
      </c>
      <c r="C248" s="25" t="str">
        <f>INDEX(cursoDisciplina!$A$4:$F$112,MATCH(disciplinaGrade!B248,cursoDisciplina!$A$4:$A$112,0),MATCH(cursoDisciplina!$C$4,cursoDisciplina!$A$4:$F$4,0))</f>
        <v>BigData</v>
      </c>
      <c r="D248" t="str">
        <f>INDEX(cursoDisciplina!$A$4:$F$112,MATCH(disciplinaGrade!B248,cursoDisciplina!$A$4:$A$112,0),MATCH(cursoDisciplina!$E$4,cursoDisciplina!$A$4:$F$4,0))</f>
        <v>Disciplina 14</v>
      </c>
      <c r="E248" t="s">
        <v>11</v>
      </c>
      <c r="F248" t="s">
        <v>10</v>
      </c>
      <c r="G248" s="25" t="s">
        <v>43</v>
      </c>
      <c r="H248" s="25" t="s">
        <v>43</v>
      </c>
      <c r="I248" s="25" t="s">
        <v>43</v>
      </c>
      <c r="J248" s="25" t="s">
        <v>43</v>
      </c>
      <c r="K248" s="25" t="s">
        <v>43</v>
      </c>
      <c r="L248" s="25" t="s">
        <v>43</v>
      </c>
    </row>
    <row r="249" spans="1:12" x14ac:dyDescent="0.25">
      <c r="A249" s="25">
        <v>246</v>
      </c>
      <c r="B249" s="25">
        <v>30</v>
      </c>
      <c r="C249" s="25" t="str">
        <f>INDEX(cursoDisciplina!$A$4:$F$112,MATCH(disciplinaGrade!B249,cursoDisciplina!$A$4:$A$112,0),MATCH(cursoDisciplina!$C$4,cursoDisciplina!$A$4:$F$4,0))</f>
        <v>curso 3</v>
      </c>
      <c r="D249" t="str">
        <f>INDEX(cursoDisciplina!$A$4:$F$112,MATCH(disciplinaGrade!B249,cursoDisciplina!$A$4:$A$112,0),MATCH(cursoDisciplina!$E$4,cursoDisciplina!$A$4:$F$4,0))</f>
        <v>laboratóeio de engenharia de Software</v>
      </c>
      <c r="E249" t="s">
        <v>11</v>
      </c>
      <c r="F249" t="s">
        <v>10</v>
      </c>
      <c r="G249" s="25" t="s">
        <v>43</v>
      </c>
      <c r="H249" s="25" t="s">
        <v>43</v>
      </c>
      <c r="I249" s="25" t="s">
        <v>43</v>
      </c>
      <c r="J249" s="25" t="s">
        <v>43</v>
      </c>
      <c r="K249" s="25" t="s">
        <v>43</v>
      </c>
      <c r="L249" s="25" t="s">
        <v>43</v>
      </c>
    </row>
    <row r="250" spans="1:12" x14ac:dyDescent="0.25">
      <c r="A250" s="25">
        <v>247</v>
      </c>
      <c r="B250" s="25">
        <v>31</v>
      </c>
      <c r="C250" s="25" t="str">
        <f>INDEX(cursoDisciplina!$A$4:$F$112,MATCH(disciplinaGrade!B250,cursoDisciplina!$A$4:$A$112,0),MATCH(cursoDisciplina!$C$4,cursoDisciplina!$A$4:$F$4,0))</f>
        <v>curso 3</v>
      </c>
      <c r="D250" t="str">
        <f>INDEX(cursoDisciplina!$A$4:$F$112,MATCH(disciplinaGrade!B250,cursoDisciplina!$A$4:$A$112,0),MATCH(cursoDisciplina!$E$4,cursoDisciplina!$A$4:$F$4,0))</f>
        <v>Estrutura de Dados</v>
      </c>
      <c r="E250" t="s">
        <v>11</v>
      </c>
      <c r="F250" t="s">
        <v>10</v>
      </c>
      <c r="G250" s="25" t="s">
        <v>43</v>
      </c>
      <c r="H250" s="25" t="s">
        <v>43</v>
      </c>
      <c r="I250" s="25" t="s">
        <v>43</v>
      </c>
      <c r="J250" s="25" t="s">
        <v>43</v>
      </c>
      <c r="K250" s="25" t="s">
        <v>43</v>
      </c>
      <c r="L250" s="25" t="s">
        <v>43</v>
      </c>
    </row>
    <row r="251" spans="1:12" x14ac:dyDescent="0.25">
      <c r="A251" s="25">
        <v>248</v>
      </c>
      <c r="B251" s="25">
        <v>32</v>
      </c>
      <c r="C251" s="25" t="str">
        <f>INDEX(cursoDisciplina!$A$4:$F$112,MATCH(disciplinaGrade!B251,cursoDisciplina!$A$4:$A$112,0),MATCH(cursoDisciplina!$C$4,cursoDisciplina!$A$4:$F$4,0))</f>
        <v>curso 3</v>
      </c>
      <c r="D251" t="str">
        <f>INDEX(cursoDisciplina!$A$4:$F$112,MATCH(disciplinaGrade!B251,cursoDisciplina!$A$4:$A$112,0),MATCH(cursoDisciplina!$E$4,cursoDisciplina!$A$4:$F$4,0))</f>
        <v>PEM</v>
      </c>
      <c r="E251" t="s">
        <v>11</v>
      </c>
      <c r="F251" t="s">
        <v>10</v>
      </c>
      <c r="G251" s="25" t="s">
        <v>43</v>
      </c>
      <c r="H251" s="25" t="s">
        <v>43</v>
      </c>
      <c r="I251" s="25" t="s">
        <v>43</v>
      </c>
      <c r="J251" s="25" t="s">
        <v>43</v>
      </c>
      <c r="K251" s="25" t="s">
        <v>43</v>
      </c>
      <c r="L251" s="25" t="s">
        <v>43</v>
      </c>
    </row>
    <row r="252" spans="1:12" x14ac:dyDescent="0.25">
      <c r="A252" s="25">
        <v>249</v>
      </c>
      <c r="B252" s="25">
        <v>33</v>
      </c>
      <c r="C252" s="25" t="str">
        <f>INDEX(cursoDisciplina!$A$4:$F$112,MATCH(disciplinaGrade!B252,cursoDisciplina!$A$4:$A$112,0),MATCH(cursoDisciplina!$C$4,cursoDisciplina!$A$4:$F$4,0))</f>
        <v>curso 3</v>
      </c>
      <c r="D252" t="str">
        <f>INDEX(cursoDisciplina!$A$4:$F$112,MATCH(disciplinaGrade!B252,cursoDisciplina!$A$4:$A$112,0),MATCH(cursoDisciplina!$E$4,cursoDisciplina!$A$4:$F$4,0))</f>
        <v>Disciplina 4</v>
      </c>
      <c r="E252" t="s">
        <v>11</v>
      </c>
      <c r="F252" t="s">
        <v>10</v>
      </c>
      <c r="G252" s="25" t="s">
        <v>43</v>
      </c>
      <c r="H252" s="25" t="s">
        <v>43</v>
      </c>
      <c r="I252" s="25" t="s">
        <v>43</v>
      </c>
      <c r="J252" s="25" t="s">
        <v>43</v>
      </c>
      <c r="K252" s="25" t="s">
        <v>43</v>
      </c>
      <c r="L252" s="25" t="s">
        <v>43</v>
      </c>
    </row>
    <row r="253" spans="1:12" x14ac:dyDescent="0.25">
      <c r="A253" s="25">
        <v>250</v>
      </c>
      <c r="B253" s="25">
        <v>34</v>
      </c>
      <c r="C253" s="25" t="str">
        <f>INDEX(cursoDisciplina!$A$4:$F$112,MATCH(disciplinaGrade!B253,cursoDisciplina!$A$4:$A$112,0),MATCH(cursoDisciplina!$C$4,cursoDisciplina!$A$4:$F$4,0))</f>
        <v>curso 3</v>
      </c>
      <c r="D253" t="str">
        <f>INDEX(cursoDisciplina!$A$4:$F$112,MATCH(disciplinaGrade!B253,cursoDisciplina!$A$4:$A$112,0),MATCH(cursoDisciplina!$E$4,cursoDisciplina!$A$4:$F$4,0))</f>
        <v>Disciplina 5</v>
      </c>
      <c r="E253" t="s">
        <v>11</v>
      </c>
      <c r="F253" t="s">
        <v>10</v>
      </c>
      <c r="G253" s="25" t="s">
        <v>43</v>
      </c>
      <c r="H253" s="25" t="s">
        <v>43</v>
      </c>
      <c r="I253" s="25" t="s">
        <v>43</v>
      </c>
      <c r="J253" s="25" t="s">
        <v>43</v>
      </c>
      <c r="K253" s="25" t="s">
        <v>43</v>
      </c>
      <c r="L253" s="25" t="s">
        <v>43</v>
      </c>
    </row>
    <row r="254" spans="1:12" x14ac:dyDescent="0.25">
      <c r="A254" s="25">
        <v>251</v>
      </c>
      <c r="B254" s="25">
        <v>35</v>
      </c>
      <c r="C254" s="25" t="str">
        <f>INDEX(cursoDisciplina!$A$4:$F$112,MATCH(disciplinaGrade!B254,cursoDisciplina!$A$4:$A$112,0),MATCH(cursoDisciplina!$C$4,cursoDisciplina!$A$4:$F$4,0))</f>
        <v>curso 3</v>
      </c>
      <c r="D254" t="str">
        <f>INDEX(cursoDisciplina!$A$4:$F$112,MATCH(disciplinaGrade!B254,cursoDisciplina!$A$4:$A$112,0),MATCH(cursoDisciplina!$E$4,cursoDisciplina!$A$4:$F$4,0))</f>
        <v>Disciplina 6</v>
      </c>
      <c r="E254" t="s">
        <v>11</v>
      </c>
      <c r="F254" t="s">
        <v>10</v>
      </c>
      <c r="G254" s="25" t="s">
        <v>43</v>
      </c>
      <c r="H254" s="25" t="s">
        <v>43</v>
      </c>
      <c r="I254" s="25" t="s">
        <v>43</v>
      </c>
      <c r="J254" s="25" t="s">
        <v>43</v>
      </c>
      <c r="K254" s="25" t="s">
        <v>43</v>
      </c>
      <c r="L254" s="25" t="s">
        <v>43</v>
      </c>
    </row>
    <row r="255" spans="1:12" x14ac:dyDescent="0.25">
      <c r="A255" s="25">
        <v>252</v>
      </c>
      <c r="B255" s="25">
        <v>36</v>
      </c>
      <c r="C255" s="25" t="str">
        <f>INDEX(cursoDisciplina!$A$4:$F$112,MATCH(disciplinaGrade!B255,cursoDisciplina!$A$4:$A$112,0),MATCH(cursoDisciplina!$C$4,cursoDisciplina!$A$4:$F$4,0))</f>
        <v>curso 3</v>
      </c>
      <c r="D255" t="str">
        <f>INDEX(cursoDisciplina!$A$4:$F$112,MATCH(disciplinaGrade!B255,cursoDisciplina!$A$4:$A$112,0),MATCH(cursoDisciplina!$E$4,cursoDisciplina!$A$4:$F$4,0))</f>
        <v>Disciplina 7</v>
      </c>
      <c r="E255" t="s">
        <v>11</v>
      </c>
      <c r="F255" t="s">
        <v>10</v>
      </c>
      <c r="G255" s="25" t="s">
        <v>43</v>
      </c>
      <c r="H255" s="25" t="s">
        <v>43</v>
      </c>
      <c r="I255" s="25" t="s">
        <v>43</v>
      </c>
      <c r="J255" s="25" t="s">
        <v>43</v>
      </c>
      <c r="K255" s="25" t="s">
        <v>43</v>
      </c>
      <c r="L255" s="25" t="s">
        <v>43</v>
      </c>
    </row>
    <row r="256" spans="1:12" x14ac:dyDescent="0.25">
      <c r="A256" s="25">
        <v>253</v>
      </c>
      <c r="B256" s="25">
        <v>37</v>
      </c>
      <c r="C256" s="25" t="str">
        <f>INDEX(cursoDisciplina!$A$4:$F$112,MATCH(disciplinaGrade!B256,cursoDisciplina!$A$4:$A$112,0),MATCH(cursoDisciplina!$C$4,cursoDisciplina!$A$4:$F$4,0))</f>
        <v>curso 3</v>
      </c>
      <c r="D256" t="str">
        <f>INDEX(cursoDisciplina!$A$4:$F$112,MATCH(disciplinaGrade!B256,cursoDisciplina!$A$4:$A$112,0),MATCH(cursoDisciplina!$E$4,cursoDisciplina!$A$4:$F$4,0))</f>
        <v>Disciplina 8</v>
      </c>
      <c r="E256" t="s">
        <v>11</v>
      </c>
      <c r="F256" t="s">
        <v>10</v>
      </c>
      <c r="G256" s="25" t="s">
        <v>43</v>
      </c>
      <c r="H256" s="25" t="s">
        <v>43</v>
      </c>
      <c r="I256" s="25" t="s">
        <v>43</v>
      </c>
      <c r="J256" s="25" t="s">
        <v>43</v>
      </c>
      <c r="K256" s="25" t="s">
        <v>43</v>
      </c>
      <c r="L256" s="25" t="s">
        <v>43</v>
      </c>
    </row>
    <row r="257" spans="1:12" x14ac:dyDescent="0.25">
      <c r="A257" s="25">
        <v>254</v>
      </c>
      <c r="B257" s="25">
        <v>38</v>
      </c>
      <c r="C257" s="25" t="str">
        <f>INDEX(cursoDisciplina!$A$4:$F$112,MATCH(disciplinaGrade!B257,cursoDisciplina!$A$4:$A$112,0),MATCH(cursoDisciplina!$C$4,cursoDisciplina!$A$4:$F$4,0))</f>
        <v>curso 3</v>
      </c>
      <c r="D257" t="str">
        <f>INDEX(cursoDisciplina!$A$4:$F$112,MATCH(disciplinaGrade!B257,cursoDisciplina!$A$4:$A$112,0),MATCH(cursoDisciplina!$E$4,cursoDisciplina!$A$4:$F$4,0))</f>
        <v>Disciplina 9</v>
      </c>
      <c r="E257" t="s">
        <v>11</v>
      </c>
      <c r="F257" t="s">
        <v>10</v>
      </c>
      <c r="G257" s="25" t="s">
        <v>43</v>
      </c>
      <c r="H257" s="25" t="s">
        <v>43</v>
      </c>
      <c r="I257" s="25" t="s">
        <v>43</v>
      </c>
      <c r="J257" s="25" t="s">
        <v>43</v>
      </c>
      <c r="K257" s="25" t="s">
        <v>43</v>
      </c>
      <c r="L257" s="25" t="s">
        <v>43</v>
      </c>
    </row>
    <row r="258" spans="1:12" x14ac:dyDescent="0.25">
      <c r="A258" s="25">
        <v>255</v>
      </c>
      <c r="B258" s="25">
        <v>39</v>
      </c>
      <c r="C258" s="25" t="str">
        <f>INDEX(cursoDisciplina!$A$4:$F$112,MATCH(disciplinaGrade!B258,cursoDisciplina!$A$4:$A$112,0),MATCH(cursoDisciplina!$C$4,cursoDisciplina!$A$4:$F$4,0))</f>
        <v>curso 3</v>
      </c>
      <c r="D258" t="str">
        <f>INDEX(cursoDisciplina!$A$4:$F$112,MATCH(disciplinaGrade!B258,cursoDisciplina!$A$4:$A$112,0),MATCH(cursoDisciplina!$E$4,cursoDisciplina!$A$4:$F$4,0))</f>
        <v>Disciplina 10</v>
      </c>
      <c r="E258" t="s">
        <v>11</v>
      </c>
      <c r="F258" t="s">
        <v>10</v>
      </c>
      <c r="G258" s="25" t="s">
        <v>43</v>
      </c>
      <c r="H258" s="25" t="s">
        <v>43</v>
      </c>
      <c r="I258" s="25" t="s">
        <v>43</v>
      </c>
      <c r="J258" s="25" t="s">
        <v>43</v>
      </c>
      <c r="K258" s="25" t="s">
        <v>43</v>
      </c>
      <c r="L258" s="25" t="s">
        <v>43</v>
      </c>
    </row>
    <row r="259" spans="1:12" x14ac:dyDescent="0.25">
      <c r="A259" s="25">
        <v>256</v>
      </c>
      <c r="B259" s="25">
        <v>40</v>
      </c>
      <c r="C259" s="25" t="str">
        <f>INDEX(cursoDisciplina!$A$4:$F$112,MATCH(disciplinaGrade!B259,cursoDisciplina!$A$4:$A$112,0),MATCH(cursoDisciplina!$C$4,cursoDisciplina!$A$4:$F$4,0))</f>
        <v>curso 3</v>
      </c>
      <c r="D259" t="str">
        <f>INDEX(cursoDisciplina!$A$4:$F$112,MATCH(disciplinaGrade!B259,cursoDisciplina!$A$4:$A$112,0),MATCH(cursoDisciplina!$E$4,cursoDisciplina!$A$4:$F$4,0))</f>
        <v>Disciplina 11</v>
      </c>
      <c r="E259" t="s">
        <v>11</v>
      </c>
      <c r="F259" t="s">
        <v>10</v>
      </c>
      <c r="G259" s="25" t="s">
        <v>43</v>
      </c>
      <c r="H259" s="25" t="s">
        <v>43</v>
      </c>
      <c r="I259" s="25" t="s">
        <v>43</v>
      </c>
      <c r="J259" s="25" t="s">
        <v>43</v>
      </c>
      <c r="K259" s="25" t="s">
        <v>43</v>
      </c>
      <c r="L259" s="25" t="s">
        <v>43</v>
      </c>
    </row>
    <row r="260" spans="1:12" x14ac:dyDescent="0.25">
      <c r="A260" s="25">
        <v>257</v>
      </c>
      <c r="B260" s="25">
        <v>41</v>
      </c>
      <c r="C260" s="25" t="str">
        <f>INDEX(cursoDisciplina!$A$4:$F$112,MATCH(disciplinaGrade!B260,cursoDisciplina!$A$4:$A$112,0),MATCH(cursoDisciplina!$C$4,cursoDisciplina!$A$4:$F$4,0))</f>
        <v>curso 3</v>
      </c>
      <c r="D260" t="str">
        <f>INDEX(cursoDisciplina!$A$4:$F$112,MATCH(disciplinaGrade!B260,cursoDisciplina!$A$4:$A$112,0),MATCH(cursoDisciplina!$E$4,cursoDisciplina!$A$4:$F$4,0))</f>
        <v>Disciplina 12</v>
      </c>
      <c r="E260" t="s">
        <v>11</v>
      </c>
      <c r="F260" t="s">
        <v>10</v>
      </c>
      <c r="G260" s="25" t="s">
        <v>43</v>
      </c>
      <c r="H260" s="25" t="s">
        <v>43</v>
      </c>
      <c r="I260" s="25" t="s">
        <v>43</v>
      </c>
      <c r="J260" s="25" t="s">
        <v>43</v>
      </c>
      <c r="K260" s="25" t="s">
        <v>43</v>
      </c>
      <c r="L260" s="25" t="s">
        <v>43</v>
      </c>
    </row>
    <row r="261" spans="1:12" x14ac:dyDescent="0.25">
      <c r="A261" s="25">
        <v>258</v>
      </c>
      <c r="B261" s="25">
        <v>42</v>
      </c>
      <c r="C261" s="25" t="str">
        <f>INDEX(cursoDisciplina!$A$4:$F$112,MATCH(disciplinaGrade!B261,cursoDisciplina!$A$4:$A$112,0),MATCH(cursoDisciplina!$C$4,cursoDisciplina!$A$4:$F$4,0))</f>
        <v>curso 3</v>
      </c>
      <c r="D261" t="str">
        <f>INDEX(cursoDisciplina!$A$4:$F$112,MATCH(disciplinaGrade!B261,cursoDisciplina!$A$4:$A$112,0),MATCH(cursoDisciplina!$E$4,cursoDisciplina!$A$4:$F$4,0))</f>
        <v>Disciplina 13</v>
      </c>
      <c r="E261" t="s">
        <v>11</v>
      </c>
      <c r="F261" t="s">
        <v>10</v>
      </c>
      <c r="G261" s="25" t="s">
        <v>43</v>
      </c>
      <c r="H261" s="25" t="s">
        <v>43</v>
      </c>
      <c r="I261" s="25" t="s">
        <v>43</v>
      </c>
      <c r="J261" s="25" t="s">
        <v>43</v>
      </c>
      <c r="K261" s="25" t="s">
        <v>43</v>
      </c>
      <c r="L261" s="25" t="s">
        <v>43</v>
      </c>
    </row>
    <row r="262" spans="1:12" x14ac:dyDescent="0.25">
      <c r="A262" s="25">
        <v>259</v>
      </c>
      <c r="B262" s="25">
        <v>43</v>
      </c>
      <c r="C262" s="25" t="str">
        <f>INDEX(cursoDisciplina!$A$4:$F$112,MATCH(disciplinaGrade!B262,cursoDisciplina!$A$4:$A$112,0),MATCH(cursoDisciplina!$C$4,cursoDisciplina!$A$4:$F$4,0))</f>
        <v>curso 3</v>
      </c>
      <c r="D262" t="str">
        <f>INDEX(cursoDisciplina!$A$4:$F$112,MATCH(disciplinaGrade!B262,cursoDisciplina!$A$4:$A$112,0),MATCH(cursoDisciplina!$E$4,cursoDisciplina!$A$4:$F$4,0))</f>
        <v>Disciplina 14</v>
      </c>
      <c r="E262" t="s">
        <v>11</v>
      </c>
      <c r="F262" t="s">
        <v>10</v>
      </c>
      <c r="G262" s="25" t="s">
        <v>43</v>
      </c>
      <c r="H262" s="25" t="s">
        <v>43</v>
      </c>
      <c r="I262" s="25" t="s">
        <v>43</v>
      </c>
      <c r="J262" s="25" t="s">
        <v>43</v>
      </c>
      <c r="K262" s="25" t="s">
        <v>43</v>
      </c>
      <c r="L262" s="25" t="s">
        <v>43</v>
      </c>
    </row>
    <row r="263" spans="1:12" x14ac:dyDescent="0.25">
      <c r="A263" s="25">
        <v>260</v>
      </c>
      <c r="B263" s="25">
        <v>44</v>
      </c>
      <c r="C263" s="25" t="str">
        <f>INDEX(cursoDisciplina!$A$4:$F$112,MATCH(disciplinaGrade!B263,cursoDisciplina!$A$4:$A$112,0),MATCH(cursoDisciplina!$C$4,cursoDisciplina!$A$4:$F$4,0))</f>
        <v>curso 3</v>
      </c>
      <c r="D263" t="str">
        <f>INDEX(cursoDisciplina!$A$4:$F$112,MATCH(disciplinaGrade!B263,cursoDisciplina!$A$4:$A$112,0),MATCH(cursoDisciplina!$E$4,cursoDisciplina!$A$4:$F$4,0))</f>
        <v>Disciplina 15</v>
      </c>
      <c r="E263" t="s">
        <v>11</v>
      </c>
      <c r="F263" t="s">
        <v>10</v>
      </c>
      <c r="G263" s="25" t="s">
        <v>43</v>
      </c>
      <c r="H263" s="25" t="s">
        <v>43</v>
      </c>
      <c r="I263" s="25" t="s">
        <v>43</v>
      </c>
      <c r="J263" s="25" t="s">
        <v>43</v>
      </c>
      <c r="K263" s="25" t="s">
        <v>43</v>
      </c>
      <c r="L263" s="25" t="s">
        <v>43</v>
      </c>
    </row>
    <row r="264" spans="1:12" x14ac:dyDescent="0.25">
      <c r="A264" s="25">
        <v>261</v>
      </c>
      <c r="B264" s="25">
        <v>45</v>
      </c>
      <c r="C264" s="25" t="str">
        <f>INDEX(cursoDisciplina!$A$4:$F$112,MATCH(disciplinaGrade!B264,cursoDisciplina!$A$4:$A$112,0),MATCH(cursoDisciplina!$C$4,cursoDisciplina!$A$4:$F$4,0))</f>
        <v>curso 3</v>
      </c>
      <c r="D264" t="str">
        <f>INDEX(cursoDisciplina!$A$4:$F$112,MATCH(disciplinaGrade!B264,cursoDisciplina!$A$4:$A$112,0),MATCH(cursoDisciplina!$E$4,cursoDisciplina!$A$4:$F$4,0))</f>
        <v>Disciplina 16</v>
      </c>
      <c r="E264" t="s">
        <v>11</v>
      </c>
      <c r="F264" t="s">
        <v>10</v>
      </c>
      <c r="G264" s="25" t="s">
        <v>43</v>
      </c>
      <c r="H264" s="25" t="s">
        <v>43</v>
      </c>
      <c r="I264" s="25" t="s">
        <v>43</v>
      </c>
      <c r="J264" s="25" t="s">
        <v>43</v>
      </c>
      <c r="K264" s="25" t="s">
        <v>43</v>
      </c>
      <c r="L264" s="25" t="s">
        <v>43</v>
      </c>
    </row>
    <row r="265" spans="1:12" x14ac:dyDescent="0.25">
      <c r="A265" s="25">
        <v>262</v>
      </c>
      <c r="B265" s="25">
        <v>46</v>
      </c>
      <c r="C265" s="25" t="str">
        <f>INDEX(cursoDisciplina!$A$4:$F$112,MATCH(disciplinaGrade!B265,cursoDisciplina!$A$4:$A$112,0),MATCH(cursoDisciplina!$C$4,cursoDisciplina!$A$4:$F$4,0))</f>
        <v>curso 3</v>
      </c>
      <c r="D265" t="str">
        <f>INDEX(cursoDisciplina!$A$4:$F$112,MATCH(disciplinaGrade!B265,cursoDisciplina!$A$4:$A$112,0),MATCH(cursoDisciplina!$E$4,cursoDisciplina!$A$4:$F$4,0))</f>
        <v>Disciplina 17</v>
      </c>
      <c r="E265" t="s">
        <v>11</v>
      </c>
      <c r="F265" t="s">
        <v>10</v>
      </c>
      <c r="G265" s="25" t="s">
        <v>43</v>
      </c>
      <c r="H265" s="25" t="s">
        <v>43</v>
      </c>
      <c r="I265" s="25" t="s">
        <v>43</v>
      </c>
      <c r="J265" s="25" t="s">
        <v>43</v>
      </c>
      <c r="K265" s="25" t="s">
        <v>43</v>
      </c>
      <c r="L265" s="25" t="s">
        <v>43</v>
      </c>
    </row>
    <row r="266" spans="1:12" x14ac:dyDescent="0.25">
      <c r="A266" s="25">
        <v>263</v>
      </c>
      <c r="B266" s="25">
        <v>47</v>
      </c>
      <c r="C266" s="25" t="str">
        <f>INDEX(cursoDisciplina!$A$4:$F$112,MATCH(disciplinaGrade!B266,cursoDisciplina!$A$4:$A$112,0),MATCH(cursoDisciplina!$C$4,cursoDisciplina!$A$4:$F$4,0))</f>
        <v>curso 3</v>
      </c>
      <c r="D266" t="str">
        <f>INDEX(cursoDisciplina!$A$4:$F$112,MATCH(disciplinaGrade!B266,cursoDisciplina!$A$4:$A$112,0),MATCH(cursoDisciplina!$E$4,cursoDisciplina!$A$4:$F$4,0))</f>
        <v>Disciplina 18</v>
      </c>
      <c r="E266" t="s">
        <v>11</v>
      </c>
      <c r="F266" t="s">
        <v>10</v>
      </c>
      <c r="G266" s="25" t="s">
        <v>43</v>
      </c>
      <c r="H266" s="25" t="s">
        <v>43</v>
      </c>
      <c r="I266" s="25" t="s">
        <v>43</v>
      </c>
      <c r="J266" s="25" t="s">
        <v>43</v>
      </c>
      <c r="K266" s="25" t="s">
        <v>43</v>
      </c>
      <c r="L266" s="25" t="s">
        <v>43</v>
      </c>
    </row>
    <row r="267" spans="1:12" x14ac:dyDescent="0.25">
      <c r="A267" s="25">
        <v>264</v>
      </c>
      <c r="B267" s="25">
        <v>48</v>
      </c>
      <c r="C267" s="25" t="str">
        <f>INDEX(cursoDisciplina!$A$4:$F$112,MATCH(disciplinaGrade!B267,cursoDisciplina!$A$4:$A$112,0),MATCH(cursoDisciplina!$C$4,cursoDisciplina!$A$4:$F$4,0))</f>
        <v>curso 3</v>
      </c>
      <c r="D267" t="str">
        <f>INDEX(cursoDisciplina!$A$4:$F$112,MATCH(disciplinaGrade!B267,cursoDisciplina!$A$4:$A$112,0),MATCH(cursoDisciplina!$E$4,cursoDisciplina!$A$4:$F$4,0))</f>
        <v>Disciplina 19</v>
      </c>
      <c r="E267" t="s">
        <v>11</v>
      </c>
      <c r="F267" t="s">
        <v>10</v>
      </c>
      <c r="G267" s="25" t="s">
        <v>43</v>
      </c>
      <c r="H267" s="25" t="s">
        <v>43</v>
      </c>
      <c r="I267" s="25" t="s">
        <v>43</v>
      </c>
      <c r="J267" s="25" t="s">
        <v>43</v>
      </c>
      <c r="K267" s="25" t="s">
        <v>43</v>
      </c>
      <c r="L267" s="25" t="s">
        <v>43</v>
      </c>
    </row>
    <row r="268" spans="1:12" x14ac:dyDescent="0.25">
      <c r="A268" s="25">
        <v>265</v>
      </c>
      <c r="B268" s="25">
        <v>49</v>
      </c>
      <c r="C268" s="25" t="str">
        <f>INDEX(cursoDisciplina!$A$4:$F$112,MATCH(disciplinaGrade!B268,cursoDisciplina!$A$4:$A$112,0),MATCH(cursoDisciplina!$C$4,cursoDisciplina!$A$4:$F$4,0))</f>
        <v>curso 3</v>
      </c>
      <c r="D268" t="str">
        <f>INDEX(cursoDisciplina!$A$4:$F$112,MATCH(disciplinaGrade!B268,cursoDisciplina!$A$4:$A$112,0),MATCH(cursoDisciplina!$E$4,cursoDisciplina!$A$4:$F$4,0))</f>
        <v>Disciplina 20</v>
      </c>
      <c r="E268" t="s">
        <v>11</v>
      </c>
      <c r="F268" t="s">
        <v>10</v>
      </c>
      <c r="G268" s="25" t="s">
        <v>43</v>
      </c>
      <c r="H268" s="25" t="s">
        <v>43</v>
      </c>
      <c r="I268" s="25" t="s">
        <v>43</v>
      </c>
      <c r="J268" s="25" t="s">
        <v>43</v>
      </c>
      <c r="K268" s="25" t="s">
        <v>43</v>
      </c>
      <c r="L268" s="25" t="s">
        <v>43</v>
      </c>
    </row>
    <row r="269" spans="1:12" x14ac:dyDescent="0.25">
      <c r="A269" s="25">
        <v>266</v>
      </c>
      <c r="B269" s="25">
        <v>50</v>
      </c>
      <c r="C269" s="25" t="str">
        <f>INDEX(cursoDisciplina!$A$4:$F$112,MATCH(disciplinaGrade!B269,cursoDisciplina!$A$4:$A$112,0),MATCH(cursoDisciplina!$C$4,cursoDisciplina!$A$4:$F$4,0))</f>
        <v>curso 3</v>
      </c>
      <c r="D269" t="str">
        <f>INDEX(cursoDisciplina!$A$4:$F$112,MATCH(disciplinaGrade!B269,cursoDisciplina!$A$4:$A$112,0),MATCH(cursoDisciplina!$E$4,cursoDisciplina!$A$4:$F$4,0))</f>
        <v>Disciplina 21</v>
      </c>
      <c r="E269" t="s">
        <v>11</v>
      </c>
      <c r="F269" t="s">
        <v>10</v>
      </c>
      <c r="G269" s="25" t="s">
        <v>43</v>
      </c>
      <c r="H269" s="25" t="s">
        <v>43</v>
      </c>
      <c r="I269" s="25" t="s">
        <v>43</v>
      </c>
      <c r="J269" s="25" t="s">
        <v>43</v>
      </c>
      <c r="K269" s="25" t="s">
        <v>43</v>
      </c>
      <c r="L269" s="25" t="s">
        <v>43</v>
      </c>
    </row>
    <row r="270" spans="1:12" x14ac:dyDescent="0.25">
      <c r="A270" s="25">
        <v>267</v>
      </c>
      <c r="B270" s="25">
        <v>51</v>
      </c>
      <c r="C270" s="25" t="str">
        <f>INDEX(cursoDisciplina!$A$4:$F$112,MATCH(disciplinaGrade!B270,cursoDisciplina!$A$4:$A$112,0),MATCH(cursoDisciplina!$C$4,cursoDisciplina!$A$4:$F$4,0))</f>
        <v>curso 3</v>
      </c>
      <c r="D270" t="str">
        <f>INDEX(cursoDisciplina!$A$4:$F$112,MATCH(disciplinaGrade!B270,cursoDisciplina!$A$4:$A$112,0),MATCH(cursoDisciplina!$E$4,cursoDisciplina!$A$4:$F$4,0))</f>
        <v>Disciplina 22</v>
      </c>
      <c r="E270" t="s">
        <v>11</v>
      </c>
      <c r="F270" t="s">
        <v>10</v>
      </c>
      <c r="G270" s="25" t="s">
        <v>43</v>
      </c>
      <c r="H270" s="25" t="s">
        <v>43</v>
      </c>
      <c r="I270" s="25" t="s">
        <v>43</v>
      </c>
      <c r="J270" s="25" t="s">
        <v>43</v>
      </c>
      <c r="K270" s="25" t="s">
        <v>43</v>
      </c>
      <c r="L270" s="25" t="s">
        <v>43</v>
      </c>
    </row>
    <row r="271" spans="1:12" x14ac:dyDescent="0.25">
      <c r="A271" s="25">
        <v>268</v>
      </c>
      <c r="B271" s="25">
        <v>52</v>
      </c>
      <c r="C271" s="25" t="str">
        <f>INDEX(cursoDisciplina!$A$4:$F$112,MATCH(disciplinaGrade!B271,cursoDisciplina!$A$4:$A$112,0),MATCH(cursoDisciplina!$C$4,cursoDisciplina!$A$4:$F$4,0))</f>
        <v>curso 3</v>
      </c>
      <c r="D271" t="str">
        <f>INDEX(cursoDisciplina!$A$4:$F$112,MATCH(disciplinaGrade!B271,cursoDisciplina!$A$4:$A$112,0),MATCH(cursoDisciplina!$E$4,cursoDisciplina!$A$4:$F$4,0))</f>
        <v>Disciplina 23</v>
      </c>
      <c r="E271" t="s">
        <v>11</v>
      </c>
      <c r="F271" t="s">
        <v>10</v>
      </c>
      <c r="G271" s="25" t="s">
        <v>43</v>
      </c>
      <c r="H271" s="25" t="s">
        <v>43</v>
      </c>
      <c r="I271" s="25" t="s">
        <v>43</v>
      </c>
      <c r="J271" s="25" t="s">
        <v>43</v>
      </c>
      <c r="K271" s="25" t="s">
        <v>43</v>
      </c>
      <c r="L271" s="25" t="s">
        <v>43</v>
      </c>
    </row>
    <row r="272" spans="1:12" x14ac:dyDescent="0.25">
      <c r="A272" s="25">
        <v>269</v>
      </c>
      <c r="B272" s="25">
        <v>53</v>
      </c>
      <c r="C272" s="25" t="str">
        <f>INDEX(cursoDisciplina!$A$4:$F$112,MATCH(disciplinaGrade!B272,cursoDisciplina!$A$4:$A$112,0),MATCH(cursoDisciplina!$C$4,cursoDisciplina!$A$4:$F$4,0))</f>
        <v>curso 3</v>
      </c>
      <c r="D272" t="str">
        <f>INDEX(cursoDisciplina!$A$4:$F$112,MATCH(disciplinaGrade!B272,cursoDisciplina!$A$4:$A$112,0),MATCH(cursoDisciplina!$E$4,cursoDisciplina!$A$4:$F$4,0))</f>
        <v>Disciplina 24</v>
      </c>
      <c r="E272" t="s">
        <v>11</v>
      </c>
      <c r="F272" t="s">
        <v>10</v>
      </c>
      <c r="G272" s="25" t="s">
        <v>43</v>
      </c>
      <c r="H272" s="25" t="s">
        <v>43</v>
      </c>
      <c r="I272" s="25" t="s">
        <v>43</v>
      </c>
      <c r="J272" s="25" t="s">
        <v>43</v>
      </c>
      <c r="K272" s="25" t="s">
        <v>43</v>
      </c>
      <c r="L272" s="25" t="s">
        <v>43</v>
      </c>
    </row>
    <row r="273" spans="1:12" x14ac:dyDescent="0.25">
      <c r="A273" s="25">
        <v>270</v>
      </c>
      <c r="B273" s="25">
        <v>54</v>
      </c>
      <c r="C273" s="25" t="str">
        <f>INDEX(cursoDisciplina!$A$4:$F$112,MATCH(disciplinaGrade!B273,cursoDisciplina!$A$4:$A$112,0),MATCH(cursoDisciplina!$C$4,cursoDisciplina!$A$4:$F$4,0))</f>
        <v>curso 3</v>
      </c>
      <c r="D273" t="str">
        <f>INDEX(cursoDisciplina!$A$4:$F$112,MATCH(disciplinaGrade!B273,cursoDisciplina!$A$4:$A$112,0),MATCH(cursoDisciplina!$E$4,cursoDisciplina!$A$4:$F$4,0))</f>
        <v>Disciplina 25</v>
      </c>
      <c r="E273" t="s">
        <v>11</v>
      </c>
      <c r="F273" t="s">
        <v>10</v>
      </c>
      <c r="G273" s="25" t="s">
        <v>43</v>
      </c>
      <c r="H273" s="25" t="s">
        <v>43</v>
      </c>
      <c r="I273" s="25" t="s">
        <v>43</v>
      </c>
      <c r="J273" s="25" t="s">
        <v>43</v>
      </c>
      <c r="K273" s="25" t="s">
        <v>43</v>
      </c>
      <c r="L273" s="25" t="s">
        <v>43</v>
      </c>
    </row>
    <row r="274" spans="1:12" x14ac:dyDescent="0.25">
      <c r="A274" s="25">
        <v>271</v>
      </c>
      <c r="B274" s="25">
        <v>55</v>
      </c>
      <c r="C274" s="25" t="str">
        <f>INDEX(cursoDisciplina!$A$4:$F$112,MATCH(disciplinaGrade!B274,cursoDisciplina!$A$4:$A$112,0),MATCH(cursoDisciplina!$C$4,cursoDisciplina!$A$4:$F$4,0))</f>
        <v>curso 4</v>
      </c>
      <c r="D274" t="str">
        <f>INDEX(cursoDisciplina!$A$4:$F$112,MATCH(disciplinaGrade!B274,cursoDisciplina!$A$4:$A$112,0),MATCH(cursoDisciplina!$E$4,cursoDisciplina!$A$4:$F$4,0))</f>
        <v>laboratóeio de engenharia de Software</v>
      </c>
      <c r="E274" t="s">
        <v>11</v>
      </c>
      <c r="F274" t="s">
        <v>10</v>
      </c>
      <c r="G274" s="25" t="s">
        <v>43</v>
      </c>
      <c r="H274" s="25" t="s">
        <v>43</v>
      </c>
      <c r="I274" s="25" t="s">
        <v>43</v>
      </c>
      <c r="J274" s="25" t="s">
        <v>43</v>
      </c>
      <c r="K274" s="25" t="s">
        <v>43</v>
      </c>
      <c r="L274" s="25" t="s">
        <v>43</v>
      </c>
    </row>
    <row r="275" spans="1:12" x14ac:dyDescent="0.25">
      <c r="A275" s="25">
        <v>272</v>
      </c>
      <c r="B275" s="25">
        <v>56</v>
      </c>
      <c r="C275" s="25" t="str">
        <f>INDEX(cursoDisciplina!$A$4:$F$112,MATCH(disciplinaGrade!B275,cursoDisciplina!$A$4:$A$112,0),MATCH(cursoDisciplina!$C$4,cursoDisciplina!$A$4:$F$4,0))</f>
        <v>curso 4</v>
      </c>
      <c r="D275" t="str">
        <f>INDEX(cursoDisciplina!$A$4:$F$112,MATCH(disciplinaGrade!B275,cursoDisciplina!$A$4:$A$112,0),MATCH(cursoDisciplina!$E$4,cursoDisciplina!$A$4:$F$4,0))</f>
        <v>Estrutura de Dados</v>
      </c>
      <c r="E275" t="s">
        <v>11</v>
      </c>
      <c r="F275" t="s">
        <v>10</v>
      </c>
      <c r="G275" s="25" t="s">
        <v>43</v>
      </c>
      <c r="H275" s="25" t="s">
        <v>43</v>
      </c>
      <c r="I275" s="25" t="s">
        <v>43</v>
      </c>
      <c r="J275" s="25" t="s">
        <v>43</v>
      </c>
      <c r="K275" s="25" t="s">
        <v>43</v>
      </c>
      <c r="L275" s="25" t="s">
        <v>43</v>
      </c>
    </row>
    <row r="276" spans="1:12" x14ac:dyDescent="0.25">
      <c r="A276" s="25">
        <v>273</v>
      </c>
      <c r="B276" s="25">
        <v>57</v>
      </c>
      <c r="C276" s="25" t="str">
        <f>INDEX(cursoDisciplina!$A$4:$F$112,MATCH(disciplinaGrade!B276,cursoDisciplina!$A$4:$A$112,0),MATCH(cursoDisciplina!$C$4,cursoDisciplina!$A$4:$F$4,0))</f>
        <v>curso 4</v>
      </c>
      <c r="D276" t="str">
        <f>INDEX(cursoDisciplina!$A$4:$F$112,MATCH(disciplinaGrade!B276,cursoDisciplina!$A$4:$A$112,0),MATCH(cursoDisciplina!$E$4,cursoDisciplina!$A$4:$F$4,0))</f>
        <v>PEM</v>
      </c>
      <c r="E276" t="s">
        <v>11</v>
      </c>
      <c r="F276" t="s">
        <v>10</v>
      </c>
      <c r="G276" s="25" t="s">
        <v>43</v>
      </c>
      <c r="H276" s="25" t="s">
        <v>43</v>
      </c>
      <c r="I276" s="25" t="s">
        <v>43</v>
      </c>
      <c r="J276" s="25" t="s">
        <v>43</v>
      </c>
      <c r="K276" s="25" t="s">
        <v>43</v>
      </c>
      <c r="L276" s="25" t="s">
        <v>43</v>
      </c>
    </row>
    <row r="277" spans="1:12" x14ac:dyDescent="0.25">
      <c r="A277" s="25">
        <v>274</v>
      </c>
      <c r="B277" s="25">
        <v>58</v>
      </c>
      <c r="C277" s="25" t="str">
        <f>INDEX(cursoDisciplina!$A$4:$F$112,MATCH(disciplinaGrade!B277,cursoDisciplina!$A$4:$A$112,0),MATCH(cursoDisciplina!$C$4,cursoDisciplina!$A$4:$F$4,0))</f>
        <v>curso 4</v>
      </c>
      <c r="D277" t="str">
        <f>INDEX(cursoDisciplina!$A$4:$F$112,MATCH(disciplinaGrade!B277,cursoDisciplina!$A$4:$A$112,0),MATCH(cursoDisciplina!$E$4,cursoDisciplina!$A$4:$F$4,0))</f>
        <v>Disciplina 4</v>
      </c>
      <c r="E277" t="s">
        <v>11</v>
      </c>
      <c r="F277" t="s">
        <v>10</v>
      </c>
      <c r="G277" s="25" t="s">
        <v>43</v>
      </c>
      <c r="H277" s="25" t="s">
        <v>43</v>
      </c>
      <c r="I277" s="25" t="s">
        <v>43</v>
      </c>
      <c r="J277" s="25" t="s">
        <v>43</v>
      </c>
      <c r="K277" s="25" t="s">
        <v>43</v>
      </c>
      <c r="L277" s="25" t="s">
        <v>43</v>
      </c>
    </row>
    <row r="278" spans="1:12" x14ac:dyDescent="0.25">
      <c r="A278" s="25">
        <v>275</v>
      </c>
      <c r="B278" s="25">
        <v>59</v>
      </c>
      <c r="C278" s="25" t="str">
        <f>INDEX(cursoDisciplina!$A$4:$F$112,MATCH(disciplinaGrade!B278,cursoDisciplina!$A$4:$A$112,0),MATCH(cursoDisciplina!$C$4,cursoDisciplina!$A$4:$F$4,0))</f>
        <v>curso 4</v>
      </c>
      <c r="D278" t="str">
        <f>INDEX(cursoDisciplina!$A$4:$F$112,MATCH(disciplinaGrade!B278,cursoDisciplina!$A$4:$A$112,0),MATCH(cursoDisciplina!$E$4,cursoDisciplina!$A$4:$F$4,0))</f>
        <v>Disciplina 5</v>
      </c>
      <c r="E278" t="s">
        <v>11</v>
      </c>
      <c r="F278" t="s">
        <v>10</v>
      </c>
      <c r="G278" s="25" t="s">
        <v>43</v>
      </c>
      <c r="H278" s="25" t="s">
        <v>43</v>
      </c>
      <c r="I278" s="25" t="s">
        <v>43</v>
      </c>
      <c r="J278" s="25" t="s">
        <v>43</v>
      </c>
      <c r="K278" s="25" t="s">
        <v>43</v>
      </c>
      <c r="L278" s="25" t="s">
        <v>43</v>
      </c>
    </row>
    <row r="279" spans="1:12" x14ac:dyDescent="0.25">
      <c r="A279" s="25">
        <v>276</v>
      </c>
      <c r="B279" s="25">
        <v>60</v>
      </c>
      <c r="C279" s="25" t="str">
        <f>INDEX(cursoDisciplina!$A$4:$F$112,MATCH(disciplinaGrade!B279,cursoDisciplina!$A$4:$A$112,0),MATCH(cursoDisciplina!$C$4,cursoDisciplina!$A$4:$F$4,0))</f>
        <v>curso 4</v>
      </c>
      <c r="D279" t="str">
        <f>INDEX(cursoDisciplina!$A$4:$F$112,MATCH(disciplinaGrade!B279,cursoDisciplina!$A$4:$A$112,0),MATCH(cursoDisciplina!$E$4,cursoDisciplina!$A$4:$F$4,0))</f>
        <v>Disciplina 6</v>
      </c>
      <c r="E279" t="s">
        <v>11</v>
      </c>
      <c r="F279" t="s">
        <v>10</v>
      </c>
      <c r="G279" s="25" t="s">
        <v>43</v>
      </c>
      <c r="H279" s="25" t="s">
        <v>43</v>
      </c>
      <c r="I279" s="25" t="s">
        <v>43</v>
      </c>
      <c r="J279" s="25" t="s">
        <v>43</v>
      </c>
      <c r="K279" s="25" t="s">
        <v>43</v>
      </c>
      <c r="L279" s="25" t="s">
        <v>43</v>
      </c>
    </row>
    <row r="280" spans="1:12" x14ac:dyDescent="0.25">
      <c r="A280" s="25">
        <v>277</v>
      </c>
      <c r="B280" s="25">
        <v>61</v>
      </c>
      <c r="C280" s="25" t="str">
        <f>INDEX(cursoDisciplina!$A$4:$F$112,MATCH(disciplinaGrade!B280,cursoDisciplina!$A$4:$A$112,0),MATCH(cursoDisciplina!$C$4,cursoDisciplina!$A$4:$F$4,0))</f>
        <v>curso 4</v>
      </c>
      <c r="D280" t="str">
        <f>INDEX(cursoDisciplina!$A$4:$F$112,MATCH(disciplinaGrade!B280,cursoDisciplina!$A$4:$A$112,0),MATCH(cursoDisciplina!$E$4,cursoDisciplina!$A$4:$F$4,0))</f>
        <v>Disciplina 7</v>
      </c>
      <c r="E280" t="s">
        <v>11</v>
      </c>
      <c r="F280" t="s">
        <v>10</v>
      </c>
      <c r="G280" s="25" t="s">
        <v>43</v>
      </c>
      <c r="H280" s="25" t="s">
        <v>43</v>
      </c>
      <c r="I280" s="25" t="s">
        <v>43</v>
      </c>
      <c r="J280" s="25" t="s">
        <v>43</v>
      </c>
      <c r="K280" s="25" t="s">
        <v>43</v>
      </c>
      <c r="L280" s="25" t="s">
        <v>43</v>
      </c>
    </row>
    <row r="281" spans="1:12" x14ac:dyDescent="0.25">
      <c r="A281" s="25">
        <v>278</v>
      </c>
      <c r="B281" s="25">
        <v>62</v>
      </c>
      <c r="C281" s="25" t="str">
        <f>INDEX(cursoDisciplina!$A$4:$F$112,MATCH(disciplinaGrade!B281,cursoDisciplina!$A$4:$A$112,0),MATCH(cursoDisciplina!$C$4,cursoDisciplina!$A$4:$F$4,0))</f>
        <v>curso 4</v>
      </c>
      <c r="D281" t="str">
        <f>INDEX(cursoDisciplina!$A$4:$F$112,MATCH(disciplinaGrade!B281,cursoDisciplina!$A$4:$A$112,0),MATCH(cursoDisciplina!$E$4,cursoDisciplina!$A$4:$F$4,0))</f>
        <v>Disciplina 8</v>
      </c>
      <c r="E281" t="s">
        <v>11</v>
      </c>
      <c r="F281" t="s">
        <v>10</v>
      </c>
      <c r="G281" s="25" t="s">
        <v>43</v>
      </c>
      <c r="H281" s="25" t="s">
        <v>43</v>
      </c>
      <c r="I281" s="25" t="s">
        <v>43</v>
      </c>
      <c r="J281" s="25" t="s">
        <v>43</v>
      </c>
      <c r="K281" s="25" t="s">
        <v>43</v>
      </c>
      <c r="L281" s="25" t="s">
        <v>43</v>
      </c>
    </row>
    <row r="282" spans="1:12" x14ac:dyDescent="0.25">
      <c r="A282" s="25">
        <v>279</v>
      </c>
      <c r="B282" s="25">
        <v>63</v>
      </c>
      <c r="C282" s="25" t="str">
        <f>INDEX(cursoDisciplina!$A$4:$F$112,MATCH(disciplinaGrade!B282,cursoDisciplina!$A$4:$A$112,0),MATCH(cursoDisciplina!$C$4,cursoDisciplina!$A$4:$F$4,0))</f>
        <v>curso 4</v>
      </c>
      <c r="D282" t="str">
        <f>INDEX(cursoDisciplina!$A$4:$F$112,MATCH(disciplinaGrade!B282,cursoDisciplina!$A$4:$A$112,0),MATCH(cursoDisciplina!$E$4,cursoDisciplina!$A$4:$F$4,0))</f>
        <v>Disciplina 9</v>
      </c>
      <c r="E282" t="s">
        <v>11</v>
      </c>
      <c r="F282" t="s">
        <v>10</v>
      </c>
      <c r="G282" s="25" t="s">
        <v>43</v>
      </c>
      <c r="H282" s="25" t="s">
        <v>43</v>
      </c>
      <c r="I282" s="25" t="s">
        <v>43</v>
      </c>
      <c r="J282" s="25" t="s">
        <v>43</v>
      </c>
      <c r="K282" s="25" t="s">
        <v>43</v>
      </c>
      <c r="L282" s="25" t="s">
        <v>43</v>
      </c>
    </row>
    <row r="283" spans="1:12" x14ac:dyDescent="0.25">
      <c r="A283" s="25">
        <v>280</v>
      </c>
      <c r="B283" s="25">
        <v>64</v>
      </c>
      <c r="C283" s="25" t="str">
        <f>INDEX(cursoDisciplina!$A$4:$F$112,MATCH(disciplinaGrade!B283,cursoDisciplina!$A$4:$A$112,0),MATCH(cursoDisciplina!$C$4,cursoDisciplina!$A$4:$F$4,0))</f>
        <v>curso 4</v>
      </c>
      <c r="D283" t="str">
        <f>INDEX(cursoDisciplina!$A$4:$F$112,MATCH(disciplinaGrade!B283,cursoDisciplina!$A$4:$A$112,0),MATCH(cursoDisciplina!$E$4,cursoDisciplina!$A$4:$F$4,0))</f>
        <v>Disciplina 10</v>
      </c>
      <c r="E283" t="s">
        <v>11</v>
      </c>
      <c r="F283" t="s">
        <v>10</v>
      </c>
      <c r="G283" s="25" t="s">
        <v>43</v>
      </c>
      <c r="H283" s="25" t="s">
        <v>43</v>
      </c>
      <c r="I283" s="25" t="s">
        <v>43</v>
      </c>
      <c r="J283" s="25" t="s">
        <v>43</v>
      </c>
      <c r="K283" s="25" t="s">
        <v>43</v>
      </c>
      <c r="L283" s="25" t="s">
        <v>43</v>
      </c>
    </row>
    <row r="284" spans="1:12" x14ac:dyDescent="0.25">
      <c r="A284" s="25">
        <v>281</v>
      </c>
      <c r="B284" s="25">
        <v>65</v>
      </c>
      <c r="C284" s="25" t="str">
        <f>INDEX(cursoDisciplina!$A$4:$F$112,MATCH(disciplinaGrade!B284,cursoDisciplina!$A$4:$A$112,0),MATCH(cursoDisciplina!$C$4,cursoDisciplina!$A$4:$F$4,0))</f>
        <v>curso 4</v>
      </c>
      <c r="D284" t="str">
        <f>INDEX(cursoDisciplina!$A$4:$F$112,MATCH(disciplinaGrade!B284,cursoDisciplina!$A$4:$A$112,0),MATCH(cursoDisciplina!$E$4,cursoDisciplina!$A$4:$F$4,0))</f>
        <v>Disciplina 11</v>
      </c>
      <c r="E284" t="s">
        <v>11</v>
      </c>
      <c r="F284" t="s">
        <v>10</v>
      </c>
      <c r="G284" s="25" t="s">
        <v>43</v>
      </c>
      <c r="H284" s="25" t="s">
        <v>43</v>
      </c>
      <c r="I284" s="25" t="s">
        <v>43</v>
      </c>
      <c r="J284" s="25" t="s">
        <v>43</v>
      </c>
      <c r="K284" s="25" t="s">
        <v>43</v>
      </c>
      <c r="L284" s="25" t="s">
        <v>43</v>
      </c>
    </row>
    <row r="285" spans="1:12" x14ac:dyDescent="0.25">
      <c r="A285" s="25">
        <v>282</v>
      </c>
      <c r="B285" s="25">
        <v>66</v>
      </c>
      <c r="C285" s="25" t="str">
        <f>INDEX(cursoDisciplina!$A$4:$F$112,MATCH(disciplinaGrade!B285,cursoDisciplina!$A$4:$A$112,0),MATCH(cursoDisciplina!$C$4,cursoDisciplina!$A$4:$F$4,0))</f>
        <v>curso 4</v>
      </c>
      <c r="D285" t="str">
        <f>INDEX(cursoDisciplina!$A$4:$F$112,MATCH(disciplinaGrade!B285,cursoDisciplina!$A$4:$A$112,0),MATCH(cursoDisciplina!$E$4,cursoDisciplina!$A$4:$F$4,0))</f>
        <v>Disciplina 12</v>
      </c>
      <c r="E285" t="s">
        <v>11</v>
      </c>
      <c r="F285" t="s">
        <v>10</v>
      </c>
      <c r="G285" s="25" t="s">
        <v>43</v>
      </c>
      <c r="H285" s="25" t="s">
        <v>43</v>
      </c>
      <c r="I285" s="25" t="s">
        <v>43</v>
      </c>
      <c r="J285" s="25" t="s">
        <v>43</v>
      </c>
      <c r="K285" s="25" t="s">
        <v>43</v>
      </c>
      <c r="L285" s="25" t="s">
        <v>43</v>
      </c>
    </row>
    <row r="286" spans="1:12" x14ac:dyDescent="0.25">
      <c r="A286" s="25">
        <v>283</v>
      </c>
      <c r="B286" s="25">
        <v>67</v>
      </c>
      <c r="C286" s="25" t="str">
        <f>INDEX(cursoDisciplina!$A$4:$F$112,MATCH(disciplinaGrade!B286,cursoDisciplina!$A$4:$A$112,0),MATCH(cursoDisciplina!$C$4,cursoDisciplina!$A$4:$F$4,0))</f>
        <v>curso 4</v>
      </c>
      <c r="D286" t="str">
        <f>INDEX(cursoDisciplina!$A$4:$F$112,MATCH(disciplinaGrade!B286,cursoDisciplina!$A$4:$A$112,0),MATCH(cursoDisciplina!$E$4,cursoDisciplina!$A$4:$F$4,0))</f>
        <v>Disciplina 13</v>
      </c>
      <c r="E286" t="s">
        <v>11</v>
      </c>
      <c r="F286" t="s">
        <v>10</v>
      </c>
      <c r="G286" s="25" t="s">
        <v>43</v>
      </c>
      <c r="H286" s="25" t="s">
        <v>43</v>
      </c>
      <c r="I286" s="25" t="s">
        <v>43</v>
      </c>
      <c r="J286" s="25" t="s">
        <v>43</v>
      </c>
      <c r="K286" s="25" t="s">
        <v>43</v>
      </c>
      <c r="L286" s="25" t="s">
        <v>43</v>
      </c>
    </row>
    <row r="287" spans="1:12" x14ac:dyDescent="0.25">
      <c r="A287" s="25">
        <v>284</v>
      </c>
      <c r="B287" s="25">
        <v>68</v>
      </c>
      <c r="C287" s="25" t="str">
        <f>INDEX(cursoDisciplina!$A$4:$F$112,MATCH(disciplinaGrade!B287,cursoDisciplina!$A$4:$A$112,0),MATCH(cursoDisciplina!$C$4,cursoDisciplina!$A$4:$F$4,0))</f>
        <v>curso 4</v>
      </c>
      <c r="D287" t="str">
        <f>INDEX(cursoDisciplina!$A$4:$F$112,MATCH(disciplinaGrade!B287,cursoDisciplina!$A$4:$A$112,0),MATCH(cursoDisciplina!$E$4,cursoDisciplina!$A$4:$F$4,0))</f>
        <v>Disciplina 14</v>
      </c>
      <c r="E287" t="s">
        <v>11</v>
      </c>
      <c r="F287" t="s">
        <v>10</v>
      </c>
      <c r="G287" s="25" t="s">
        <v>43</v>
      </c>
      <c r="H287" s="25" t="s">
        <v>43</v>
      </c>
      <c r="I287" s="25" t="s">
        <v>43</v>
      </c>
      <c r="J287" s="25" t="s">
        <v>43</v>
      </c>
      <c r="K287" s="25" t="s">
        <v>43</v>
      </c>
      <c r="L287" s="25" t="s">
        <v>43</v>
      </c>
    </row>
    <row r="288" spans="1:12" x14ac:dyDescent="0.25">
      <c r="A288" s="25">
        <v>285</v>
      </c>
      <c r="B288" s="25">
        <v>69</v>
      </c>
      <c r="C288" s="25" t="str">
        <f>INDEX(cursoDisciplina!$A$4:$F$112,MATCH(disciplinaGrade!B288,cursoDisciplina!$A$4:$A$112,0),MATCH(cursoDisciplina!$C$4,cursoDisciplina!$A$4:$F$4,0))</f>
        <v>curso 4</v>
      </c>
      <c r="D288" t="str">
        <f>INDEX(cursoDisciplina!$A$4:$F$112,MATCH(disciplinaGrade!B288,cursoDisciplina!$A$4:$A$112,0),MATCH(cursoDisciplina!$E$4,cursoDisciplina!$A$4:$F$4,0))</f>
        <v>Disciplina 15</v>
      </c>
      <c r="E288" t="s">
        <v>11</v>
      </c>
      <c r="F288" t="s">
        <v>10</v>
      </c>
      <c r="G288" s="25" t="s">
        <v>43</v>
      </c>
      <c r="H288" s="25" t="s">
        <v>43</v>
      </c>
      <c r="I288" s="25" t="s">
        <v>43</v>
      </c>
      <c r="J288" s="25" t="s">
        <v>43</v>
      </c>
      <c r="K288" s="25" t="s">
        <v>43</v>
      </c>
      <c r="L288" s="25" t="s">
        <v>43</v>
      </c>
    </row>
    <row r="289" spans="1:12" x14ac:dyDescent="0.25">
      <c r="A289" s="25">
        <v>286</v>
      </c>
      <c r="B289" s="25">
        <v>70</v>
      </c>
      <c r="C289" s="25" t="str">
        <f>INDEX(cursoDisciplina!$A$4:$F$112,MATCH(disciplinaGrade!B289,cursoDisciplina!$A$4:$A$112,0),MATCH(cursoDisciplina!$C$4,cursoDisciplina!$A$4:$F$4,0))</f>
        <v>curso 5</v>
      </c>
      <c r="D289" t="str">
        <f>INDEX(cursoDisciplina!$A$4:$F$112,MATCH(disciplinaGrade!B289,cursoDisciplina!$A$4:$A$112,0),MATCH(cursoDisciplina!$E$4,cursoDisciplina!$A$4:$F$4,0))</f>
        <v>laboratóeio de engenharia de Software</v>
      </c>
      <c r="E289" t="s">
        <v>11</v>
      </c>
      <c r="F289" t="s">
        <v>10</v>
      </c>
      <c r="G289" s="25" t="s">
        <v>43</v>
      </c>
      <c r="H289" s="25" t="s">
        <v>43</v>
      </c>
      <c r="I289" s="25" t="s">
        <v>43</v>
      </c>
      <c r="J289" s="25" t="s">
        <v>43</v>
      </c>
      <c r="K289" s="25" t="s">
        <v>43</v>
      </c>
      <c r="L289" s="25" t="s">
        <v>43</v>
      </c>
    </row>
    <row r="290" spans="1:12" x14ac:dyDescent="0.25">
      <c r="A290" s="25">
        <v>287</v>
      </c>
      <c r="B290" s="25">
        <v>71</v>
      </c>
      <c r="C290" s="25" t="str">
        <f>INDEX(cursoDisciplina!$A$4:$F$112,MATCH(disciplinaGrade!B290,cursoDisciplina!$A$4:$A$112,0),MATCH(cursoDisciplina!$C$4,cursoDisciplina!$A$4:$F$4,0))</f>
        <v>curso 5</v>
      </c>
      <c r="D290" t="str">
        <f>INDEX(cursoDisciplina!$A$4:$F$112,MATCH(disciplinaGrade!B290,cursoDisciplina!$A$4:$A$112,0),MATCH(cursoDisciplina!$E$4,cursoDisciplina!$A$4:$F$4,0))</f>
        <v>Estrutura de Dados</v>
      </c>
      <c r="E290" t="s">
        <v>11</v>
      </c>
      <c r="F290" t="s">
        <v>10</v>
      </c>
      <c r="G290" s="25" t="s">
        <v>43</v>
      </c>
      <c r="H290" s="25" t="s">
        <v>43</v>
      </c>
      <c r="I290" s="25" t="s">
        <v>43</v>
      </c>
      <c r="J290" s="25" t="s">
        <v>43</v>
      </c>
      <c r="K290" s="25" t="s">
        <v>43</v>
      </c>
      <c r="L290" s="25" t="s">
        <v>43</v>
      </c>
    </row>
    <row r="291" spans="1:12" x14ac:dyDescent="0.25">
      <c r="A291" s="25">
        <v>288</v>
      </c>
      <c r="B291" s="25">
        <v>72</v>
      </c>
      <c r="C291" s="25" t="str">
        <f>INDEX(cursoDisciplina!$A$4:$F$112,MATCH(disciplinaGrade!B291,cursoDisciplina!$A$4:$A$112,0),MATCH(cursoDisciplina!$C$4,cursoDisciplina!$A$4:$F$4,0))</f>
        <v>curso 5</v>
      </c>
      <c r="D291" t="str">
        <f>INDEX(cursoDisciplina!$A$4:$F$112,MATCH(disciplinaGrade!B291,cursoDisciplina!$A$4:$A$112,0),MATCH(cursoDisciplina!$E$4,cursoDisciplina!$A$4:$F$4,0))</f>
        <v>PEM</v>
      </c>
      <c r="E291" t="s">
        <v>11</v>
      </c>
      <c r="F291" t="s">
        <v>10</v>
      </c>
      <c r="G291" s="25" t="s">
        <v>43</v>
      </c>
      <c r="H291" s="25" t="s">
        <v>43</v>
      </c>
      <c r="I291" s="25" t="s">
        <v>43</v>
      </c>
      <c r="J291" s="25" t="s">
        <v>43</v>
      </c>
      <c r="K291" s="25" t="s">
        <v>43</v>
      </c>
      <c r="L291" s="25" t="s">
        <v>43</v>
      </c>
    </row>
    <row r="292" spans="1:12" x14ac:dyDescent="0.25">
      <c r="A292" s="25">
        <v>289</v>
      </c>
      <c r="B292" s="25">
        <v>73</v>
      </c>
      <c r="C292" s="25" t="str">
        <f>INDEX(cursoDisciplina!$A$4:$F$112,MATCH(disciplinaGrade!B292,cursoDisciplina!$A$4:$A$112,0),MATCH(cursoDisciplina!$C$4,cursoDisciplina!$A$4:$F$4,0))</f>
        <v>curso 5</v>
      </c>
      <c r="D292" t="str">
        <f>INDEX(cursoDisciplina!$A$4:$F$112,MATCH(disciplinaGrade!B292,cursoDisciplina!$A$4:$A$112,0),MATCH(cursoDisciplina!$E$4,cursoDisciplina!$A$4:$F$4,0))</f>
        <v>Disciplina 4</v>
      </c>
      <c r="E292" t="s">
        <v>11</v>
      </c>
      <c r="F292" t="s">
        <v>10</v>
      </c>
      <c r="G292" s="25" t="s">
        <v>43</v>
      </c>
      <c r="H292" s="25" t="s">
        <v>43</v>
      </c>
      <c r="I292" s="25" t="s">
        <v>43</v>
      </c>
      <c r="J292" s="25" t="s">
        <v>43</v>
      </c>
      <c r="K292" s="25" t="s">
        <v>43</v>
      </c>
      <c r="L292" s="25" t="s">
        <v>43</v>
      </c>
    </row>
    <row r="293" spans="1:12" x14ac:dyDescent="0.25">
      <c r="A293" s="25">
        <v>290</v>
      </c>
      <c r="B293" s="25">
        <v>74</v>
      </c>
      <c r="C293" s="25" t="str">
        <f>INDEX(cursoDisciplina!$A$4:$F$112,MATCH(disciplinaGrade!B293,cursoDisciplina!$A$4:$A$112,0),MATCH(cursoDisciplina!$C$4,cursoDisciplina!$A$4:$F$4,0))</f>
        <v>curso 5</v>
      </c>
      <c r="D293" t="str">
        <f>INDEX(cursoDisciplina!$A$4:$F$112,MATCH(disciplinaGrade!B293,cursoDisciplina!$A$4:$A$112,0),MATCH(cursoDisciplina!$E$4,cursoDisciplina!$A$4:$F$4,0))</f>
        <v>Disciplina 5</v>
      </c>
      <c r="E293" t="s">
        <v>11</v>
      </c>
      <c r="F293" t="s">
        <v>10</v>
      </c>
      <c r="G293" s="25" t="s">
        <v>43</v>
      </c>
      <c r="H293" s="25" t="s">
        <v>43</v>
      </c>
      <c r="I293" s="25" t="s">
        <v>43</v>
      </c>
      <c r="J293" s="25" t="s">
        <v>43</v>
      </c>
      <c r="K293" s="25" t="s">
        <v>43</v>
      </c>
      <c r="L293" s="25" t="s">
        <v>43</v>
      </c>
    </row>
    <row r="294" spans="1:12" x14ac:dyDescent="0.25">
      <c r="A294" s="25">
        <v>291</v>
      </c>
      <c r="B294" s="25">
        <v>75</v>
      </c>
      <c r="C294" s="25" t="str">
        <f>INDEX(cursoDisciplina!$A$4:$F$112,MATCH(disciplinaGrade!B294,cursoDisciplina!$A$4:$A$112,0),MATCH(cursoDisciplina!$C$4,cursoDisciplina!$A$4:$F$4,0))</f>
        <v>curso 5</v>
      </c>
      <c r="D294" t="str">
        <f>INDEX(cursoDisciplina!$A$4:$F$112,MATCH(disciplinaGrade!B294,cursoDisciplina!$A$4:$A$112,0),MATCH(cursoDisciplina!$E$4,cursoDisciplina!$A$4:$F$4,0))</f>
        <v>Disciplina 6</v>
      </c>
      <c r="E294" t="s">
        <v>11</v>
      </c>
      <c r="F294" t="s">
        <v>10</v>
      </c>
      <c r="G294" s="25" t="s">
        <v>43</v>
      </c>
      <c r="H294" s="25" t="s">
        <v>43</v>
      </c>
      <c r="I294" s="25" t="s">
        <v>43</v>
      </c>
      <c r="J294" s="25" t="s">
        <v>43</v>
      </c>
      <c r="K294" s="25" t="s">
        <v>43</v>
      </c>
      <c r="L294" s="25" t="s">
        <v>43</v>
      </c>
    </row>
    <row r="295" spans="1:12" x14ac:dyDescent="0.25">
      <c r="A295" s="25">
        <v>292</v>
      </c>
      <c r="B295" s="25">
        <v>76</v>
      </c>
      <c r="C295" s="25" t="str">
        <f>INDEX(cursoDisciplina!$A$4:$F$112,MATCH(disciplinaGrade!B295,cursoDisciplina!$A$4:$A$112,0),MATCH(cursoDisciplina!$C$4,cursoDisciplina!$A$4:$F$4,0))</f>
        <v>curso 5</v>
      </c>
      <c r="D295" t="str">
        <f>INDEX(cursoDisciplina!$A$4:$F$112,MATCH(disciplinaGrade!B295,cursoDisciplina!$A$4:$A$112,0),MATCH(cursoDisciplina!$E$4,cursoDisciplina!$A$4:$F$4,0))</f>
        <v>Disciplina 7</v>
      </c>
      <c r="E295" t="s">
        <v>11</v>
      </c>
      <c r="F295" t="s">
        <v>10</v>
      </c>
      <c r="G295" s="25" t="s">
        <v>43</v>
      </c>
      <c r="H295" s="25" t="s">
        <v>43</v>
      </c>
      <c r="I295" s="25" t="s">
        <v>43</v>
      </c>
      <c r="J295" s="25" t="s">
        <v>43</v>
      </c>
      <c r="K295" s="25" t="s">
        <v>43</v>
      </c>
      <c r="L295" s="25" t="s">
        <v>43</v>
      </c>
    </row>
    <row r="296" spans="1:12" x14ac:dyDescent="0.25">
      <c r="A296" s="25">
        <v>293</v>
      </c>
      <c r="B296" s="25">
        <v>77</v>
      </c>
      <c r="C296" s="25" t="str">
        <f>INDEX(cursoDisciplina!$A$4:$F$112,MATCH(disciplinaGrade!B296,cursoDisciplina!$A$4:$A$112,0),MATCH(cursoDisciplina!$C$4,cursoDisciplina!$A$4:$F$4,0))</f>
        <v>curso 5</v>
      </c>
      <c r="D296" t="str">
        <f>INDEX(cursoDisciplina!$A$4:$F$112,MATCH(disciplinaGrade!B296,cursoDisciplina!$A$4:$A$112,0),MATCH(cursoDisciplina!$E$4,cursoDisciplina!$A$4:$F$4,0))</f>
        <v>Disciplina 8</v>
      </c>
      <c r="E296" t="s">
        <v>11</v>
      </c>
      <c r="F296" t="s">
        <v>10</v>
      </c>
      <c r="G296" s="25" t="s">
        <v>43</v>
      </c>
      <c r="H296" s="25" t="s">
        <v>43</v>
      </c>
      <c r="I296" s="25" t="s">
        <v>43</v>
      </c>
      <c r="J296" s="25" t="s">
        <v>43</v>
      </c>
      <c r="K296" s="25" t="s">
        <v>43</v>
      </c>
      <c r="L296" s="25" t="s">
        <v>43</v>
      </c>
    </row>
    <row r="297" spans="1:12" x14ac:dyDescent="0.25">
      <c r="A297" s="25">
        <v>294</v>
      </c>
      <c r="B297" s="25">
        <v>78</v>
      </c>
      <c r="C297" s="25" t="str">
        <f>INDEX(cursoDisciplina!$A$4:$F$112,MATCH(disciplinaGrade!B297,cursoDisciplina!$A$4:$A$112,0),MATCH(cursoDisciplina!$C$4,cursoDisciplina!$A$4:$F$4,0))</f>
        <v>curso 5</v>
      </c>
      <c r="D297" t="str">
        <f>INDEX(cursoDisciplina!$A$4:$F$112,MATCH(disciplinaGrade!B297,cursoDisciplina!$A$4:$A$112,0),MATCH(cursoDisciplina!$E$4,cursoDisciplina!$A$4:$F$4,0))</f>
        <v>Disciplina 9</v>
      </c>
      <c r="E297" t="s">
        <v>11</v>
      </c>
      <c r="F297" t="s">
        <v>10</v>
      </c>
      <c r="G297" s="25" t="s">
        <v>43</v>
      </c>
      <c r="H297" s="25" t="s">
        <v>43</v>
      </c>
      <c r="I297" s="25" t="s">
        <v>43</v>
      </c>
      <c r="J297" s="25" t="s">
        <v>43</v>
      </c>
      <c r="K297" s="25" t="s">
        <v>43</v>
      </c>
      <c r="L297" s="25" t="s">
        <v>43</v>
      </c>
    </row>
    <row r="298" spans="1:12" x14ac:dyDescent="0.25">
      <c r="A298" s="25">
        <v>295</v>
      </c>
      <c r="B298" s="25">
        <v>79</v>
      </c>
      <c r="C298" s="25" t="str">
        <f>INDEX(cursoDisciplina!$A$4:$F$112,MATCH(disciplinaGrade!B298,cursoDisciplina!$A$4:$A$112,0),MATCH(cursoDisciplina!$C$4,cursoDisciplina!$A$4:$F$4,0))</f>
        <v>curso 5</v>
      </c>
      <c r="D298" t="str">
        <f>INDEX(cursoDisciplina!$A$4:$F$112,MATCH(disciplinaGrade!B298,cursoDisciplina!$A$4:$A$112,0),MATCH(cursoDisciplina!$E$4,cursoDisciplina!$A$4:$F$4,0))</f>
        <v>Disciplina 10</v>
      </c>
      <c r="E298" t="s">
        <v>11</v>
      </c>
      <c r="F298" t="s">
        <v>10</v>
      </c>
      <c r="G298" s="25" t="s">
        <v>43</v>
      </c>
      <c r="H298" s="25" t="s">
        <v>43</v>
      </c>
      <c r="I298" s="25" t="s">
        <v>43</v>
      </c>
      <c r="J298" s="25" t="s">
        <v>43</v>
      </c>
      <c r="K298" s="25" t="s">
        <v>43</v>
      </c>
      <c r="L298" s="25" t="s">
        <v>43</v>
      </c>
    </row>
    <row r="299" spans="1:12" x14ac:dyDescent="0.25">
      <c r="A299" s="25">
        <v>296</v>
      </c>
      <c r="B299" s="25">
        <v>80</v>
      </c>
      <c r="C299" s="25" t="str">
        <f>INDEX(cursoDisciplina!$A$4:$F$112,MATCH(disciplinaGrade!B299,cursoDisciplina!$A$4:$A$112,0),MATCH(cursoDisciplina!$C$4,cursoDisciplina!$A$4:$F$4,0))</f>
        <v>curso 5</v>
      </c>
      <c r="D299" t="str">
        <f>INDEX(cursoDisciplina!$A$4:$F$112,MATCH(disciplinaGrade!B299,cursoDisciplina!$A$4:$A$112,0),MATCH(cursoDisciplina!$E$4,cursoDisciplina!$A$4:$F$4,0))</f>
        <v>Disciplina 11</v>
      </c>
      <c r="E299" t="s">
        <v>11</v>
      </c>
      <c r="F299" t="s">
        <v>10</v>
      </c>
      <c r="G299" s="25" t="s">
        <v>43</v>
      </c>
      <c r="H299" s="25" t="s">
        <v>43</v>
      </c>
      <c r="I299" s="25" t="s">
        <v>43</v>
      </c>
      <c r="J299" s="25" t="s">
        <v>43</v>
      </c>
      <c r="K299" s="25" t="s">
        <v>43</v>
      </c>
      <c r="L299" s="25" t="s">
        <v>43</v>
      </c>
    </row>
    <row r="300" spans="1:12" x14ac:dyDescent="0.25">
      <c r="A300" s="25">
        <v>297</v>
      </c>
      <c r="B300" s="25">
        <v>81</v>
      </c>
      <c r="C300" s="25" t="str">
        <f>INDEX(cursoDisciplina!$A$4:$F$112,MATCH(disciplinaGrade!B300,cursoDisciplina!$A$4:$A$112,0),MATCH(cursoDisciplina!$C$4,cursoDisciplina!$A$4:$F$4,0))</f>
        <v>curso 5</v>
      </c>
      <c r="D300" t="str">
        <f>INDEX(cursoDisciplina!$A$4:$F$112,MATCH(disciplinaGrade!B300,cursoDisciplina!$A$4:$A$112,0),MATCH(cursoDisciplina!$E$4,cursoDisciplina!$A$4:$F$4,0))</f>
        <v>Disciplina 12</v>
      </c>
      <c r="E300" t="s">
        <v>11</v>
      </c>
      <c r="F300" t="s">
        <v>10</v>
      </c>
      <c r="G300" s="25" t="s">
        <v>43</v>
      </c>
      <c r="H300" s="25" t="s">
        <v>43</v>
      </c>
      <c r="I300" s="25" t="s">
        <v>43</v>
      </c>
      <c r="J300" s="25" t="s">
        <v>43</v>
      </c>
      <c r="K300" s="25" t="s">
        <v>43</v>
      </c>
      <c r="L300" s="25" t="s">
        <v>43</v>
      </c>
    </row>
    <row r="301" spans="1:12" x14ac:dyDescent="0.25">
      <c r="A301" s="25">
        <v>298</v>
      </c>
      <c r="B301" s="25">
        <v>82</v>
      </c>
      <c r="C301" s="25" t="str">
        <f>INDEX(cursoDisciplina!$A$4:$F$112,MATCH(disciplinaGrade!B301,cursoDisciplina!$A$4:$A$112,0),MATCH(cursoDisciplina!$C$4,cursoDisciplina!$A$4:$F$4,0))</f>
        <v>curso 5</v>
      </c>
      <c r="D301" t="str">
        <f>INDEX(cursoDisciplina!$A$4:$F$112,MATCH(disciplinaGrade!B301,cursoDisciplina!$A$4:$A$112,0),MATCH(cursoDisciplina!$E$4,cursoDisciplina!$A$4:$F$4,0))</f>
        <v>Disciplina 13</v>
      </c>
      <c r="E301" t="s">
        <v>11</v>
      </c>
      <c r="F301" t="s">
        <v>10</v>
      </c>
      <c r="G301" s="25" t="s">
        <v>43</v>
      </c>
      <c r="H301" s="25" t="s">
        <v>43</v>
      </c>
      <c r="I301" s="25" t="s">
        <v>43</v>
      </c>
      <c r="J301" s="25" t="s">
        <v>43</v>
      </c>
      <c r="K301" s="25" t="s">
        <v>43</v>
      </c>
      <c r="L301" s="25" t="s">
        <v>43</v>
      </c>
    </row>
    <row r="302" spans="1:12" x14ac:dyDescent="0.25">
      <c r="A302" s="25">
        <v>299</v>
      </c>
      <c r="B302" s="25">
        <v>83</v>
      </c>
      <c r="C302" s="25" t="str">
        <f>INDEX(cursoDisciplina!$A$4:$F$112,MATCH(disciplinaGrade!B302,cursoDisciplina!$A$4:$A$112,0),MATCH(cursoDisciplina!$C$4,cursoDisciplina!$A$4:$F$4,0))</f>
        <v>curso 5</v>
      </c>
      <c r="D302" t="str">
        <f>INDEX(cursoDisciplina!$A$4:$F$112,MATCH(disciplinaGrade!B302,cursoDisciplina!$A$4:$A$112,0),MATCH(cursoDisciplina!$E$4,cursoDisciplina!$A$4:$F$4,0))</f>
        <v>Disciplina 14</v>
      </c>
      <c r="E302" t="s">
        <v>11</v>
      </c>
      <c r="F302" t="s">
        <v>10</v>
      </c>
      <c r="G302" s="25" t="s">
        <v>43</v>
      </c>
      <c r="H302" s="25" t="s">
        <v>43</v>
      </c>
      <c r="I302" s="25" t="s">
        <v>43</v>
      </c>
      <c r="J302" s="25" t="s">
        <v>43</v>
      </c>
      <c r="K302" s="25" t="s">
        <v>43</v>
      </c>
      <c r="L302" s="25" t="s">
        <v>43</v>
      </c>
    </row>
    <row r="303" spans="1:12" x14ac:dyDescent="0.25">
      <c r="A303" s="25">
        <v>300</v>
      </c>
      <c r="B303" s="25">
        <v>84</v>
      </c>
      <c r="C303" s="25" t="str">
        <f>INDEX(cursoDisciplina!$A$4:$F$112,MATCH(disciplinaGrade!B303,cursoDisciplina!$A$4:$A$112,0),MATCH(cursoDisciplina!$C$4,cursoDisciplina!$A$4:$F$4,0))</f>
        <v>curso 6</v>
      </c>
      <c r="D303" t="str">
        <f>INDEX(cursoDisciplina!$A$4:$F$112,MATCH(disciplinaGrade!B303,cursoDisciplina!$A$4:$A$112,0),MATCH(cursoDisciplina!$E$4,cursoDisciplina!$A$4:$F$4,0))</f>
        <v>laboratóeio de engenharia de Software</v>
      </c>
      <c r="E303" t="s">
        <v>11</v>
      </c>
      <c r="F303" t="s">
        <v>10</v>
      </c>
      <c r="G303" s="25" t="s">
        <v>43</v>
      </c>
      <c r="H303" s="25" t="s">
        <v>43</v>
      </c>
      <c r="I303" s="25" t="s">
        <v>43</v>
      </c>
      <c r="J303" s="25" t="s">
        <v>43</v>
      </c>
      <c r="K303" s="25" t="s">
        <v>43</v>
      </c>
      <c r="L303" s="25" t="s">
        <v>43</v>
      </c>
    </row>
    <row r="304" spans="1:12" x14ac:dyDescent="0.25">
      <c r="A304" s="25">
        <v>301</v>
      </c>
      <c r="B304" s="25">
        <v>85</v>
      </c>
      <c r="C304" s="25" t="str">
        <f>INDEX(cursoDisciplina!$A$4:$F$112,MATCH(disciplinaGrade!B304,cursoDisciplina!$A$4:$A$112,0),MATCH(cursoDisciplina!$C$4,cursoDisciplina!$A$4:$F$4,0))</f>
        <v>curso 6</v>
      </c>
      <c r="D304" t="str">
        <f>INDEX(cursoDisciplina!$A$4:$F$112,MATCH(disciplinaGrade!B304,cursoDisciplina!$A$4:$A$112,0),MATCH(cursoDisciplina!$E$4,cursoDisciplina!$A$4:$F$4,0))</f>
        <v>Estrutura de Dados</v>
      </c>
      <c r="E304" t="s">
        <v>11</v>
      </c>
      <c r="F304" t="s">
        <v>10</v>
      </c>
      <c r="G304" s="25" t="s">
        <v>43</v>
      </c>
      <c r="H304" s="25" t="s">
        <v>43</v>
      </c>
      <c r="I304" s="25" t="s">
        <v>43</v>
      </c>
      <c r="J304" s="25" t="s">
        <v>43</v>
      </c>
      <c r="K304" s="25" t="s">
        <v>43</v>
      </c>
      <c r="L304" s="25" t="s">
        <v>43</v>
      </c>
    </row>
    <row r="305" spans="1:12" x14ac:dyDescent="0.25">
      <c r="A305" s="25">
        <v>302</v>
      </c>
      <c r="B305" s="25">
        <v>86</v>
      </c>
      <c r="C305" s="25" t="str">
        <f>INDEX(cursoDisciplina!$A$4:$F$112,MATCH(disciplinaGrade!B305,cursoDisciplina!$A$4:$A$112,0),MATCH(cursoDisciplina!$C$4,cursoDisciplina!$A$4:$F$4,0))</f>
        <v>curso 6</v>
      </c>
      <c r="D305" t="str">
        <f>INDEX(cursoDisciplina!$A$4:$F$112,MATCH(disciplinaGrade!B305,cursoDisciplina!$A$4:$A$112,0),MATCH(cursoDisciplina!$E$4,cursoDisciplina!$A$4:$F$4,0))</f>
        <v>PEM</v>
      </c>
      <c r="E305" t="s">
        <v>11</v>
      </c>
      <c r="F305" t="s">
        <v>10</v>
      </c>
      <c r="G305" s="25" t="s">
        <v>43</v>
      </c>
      <c r="H305" s="25" t="s">
        <v>43</v>
      </c>
      <c r="I305" s="25" t="s">
        <v>43</v>
      </c>
      <c r="J305" s="25" t="s">
        <v>43</v>
      </c>
      <c r="K305" s="25" t="s">
        <v>43</v>
      </c>
      <c r="L305" s="25" t="s">
        <v>43</v>
      </c>
    </row>
    <row r="306" spans="1:12" x14ac:dyDescent="0.25">
      <c r="A306" s="25">
        <v>303</v>
      </c>
      <c r="B306" s="25">
        <v>87</v>
      </c>
      <c r="C306" s="25" t="str">
        <f>INDEX(cursoDisciplina!$A$4:$F$112,MATCH(disciplinaGrade!B306,cursoDisciplina!$A$4:$A$112,0),MATCH(cursoDisciplina!$C$4,cursoDisciplina!$A$4:$F$4,0))</f>
        <v>curso 6</v>
      </c>
      <c r="D306" t="str">
        <f>INDEX(cursoDisciplina!$A$4:$F$112,MATCH(disciplinaGrade!B306,cursoDisciplina!$A$4:$A$112,0),MATCH(cursoDisciplina!$E$4,cursoDisciplina!$A$4:$F$4,0))</f>
        <v>Disciplina 4</v>
      </c>
      <c r="E306" t="s">
        <v>11</v>
      </c>
      <c r="F306" t="s">
        <v>10</v>
      </c>
      <c r="G306" s="25" t="s">
        <v>43</v>
      </c>
      <c r="H306" s="25" t="s">
        <v>43</v>
      </c>
      <c r="I306" s="25" t="s">
        <v>43</v>
      </c>
      <c r="J306" s="25" t="s">
        <v>43</v>
      </c>
      <c r="K306" s="25" t="s">
        <v>43</v>
      </c>
      <c r="L306" s="25" t="s">
        <v>43</v>
      </c>
    </row>
    <row r="307" spans="1:12" x14ac:dyDescent="0.25">
      <c r="A307" s="25">
        <v>304</v>
      </c>
      <c r="B307" s="25">
        <v>88</v>
      </c>
      <c r="C307" s="25" t="str">
        <f>INDEX(cursoDisciplina!$A$4:$F$112,MATCH(disciplinaGrade!B307,cursoDisciplina!$A$4:$A$112,0),MATCH(cursoDisciplina!$C$4,cursoDisciplina!$A$4:$F$4,0))</f>
        <v>curso 6</v>
      </c>
      <c r="D307" t="str">
        <f>INDEX(cursoDisciplina!$A$4:$F$112,MATCH(disciplinaGrade!B307,cursoDisciplina!$A$4:$A$112,0),MATCH(cursoDisciplina!$E$4,cursoDisciplina!$A$4:$F$4,0))</f>
        <v>Disciplina 5</v>
      </c>
      <c r="E307" t="s">
        <v>11</v>
      </c>
      <c r="F307" t="s">
        <v>10</v>
      </c>
      <c r="G307" s="25" t="s">
        <v>43</v>
      </c>
      <c r="H307" s="25" t="s">
        <v>43</v>
      </c>
      <c r="I307" s="25" t="s">
        <v>43</v>
      </c>
      <c r="J307" s="25" t="s">
        <v>43</v>
      </c>
      <c r="K307" s="25" t="s">
        <v>43</v>
      </c>
      <c r="L307" s="25" t="s">
        <v>43</v>
      </c>
    </row>
    <row r="308" spans="1:12" x14ac:dyDescent="0.25">
      <c r="A308" s="25">
        <v>305</v>
      </c>
      <c r="B308" s="25">
        <v>89</v>
      </c>
      <c r="C308" s="25" t="str">
        <f>INDEX(cursoDisciplina!$A$4:$F$112,MATCH(disciplinaGrade!B308,cursoDisciplina!$A$4:$A$112,0),MATCH(cursoDisciplina!$C$4,cursoDisciplina!$A$4:$F$4,0))</f>
        <v>curso 6</v>
      </c>
      <c r="D308" t="str">
        <f>INDEX(cursoDisciplina!$A$4:$F$112,MATCH(disciplinaGrade!B308,cursoDisciplina!$A$4:$A$112,0),MATCH(cursoDisciplina!$E$4,cursoDisciplina!$A$4:$F$4,0))</f>
        <v>Disciplina 6</v>
      </c>
      <c r="E308" t="s">
        <v>11</v>
      </c>
      <c r="F308" t="s">
        <v>10</v>
      </c>
      <c r="G308" s="25" t="s">
        <v>43</v>
      </c>
      <c r="H308" s="25" t="s">
        <v>43</v>
      </c>
      <c r="I308" s="25" t="s">
        <v>43</v>
      </c>
      <c r="J308" s="25" t="s">
        <v>43</v>
      </c>
      <c r="K308" s="25" t="s">
        <v>43</v>
      </c>
      <c r="L308" s="25" t="s">
        <v>43</v>
      </c>
    </row>
    <row r="309" spans="1:12" x14ac:dyDescent="0.25">
      <c r="A309" s="25">
        <v>306</v>
      </c>
      <c r="B309" s="25">
        <v>90</v>
      </c>
      <c r="C309" s="25" t="str">
        <f>INDEX(cursoDisciplina!$A$4:$F$112,MATCH(disciplinaGrade!B309,cursoDisciplina!$A$4:$A$112,0),MATCH(cursoDisciplina!$C$4,cursoDisciplina!$A$4:$F$4,0))</f>
        <v>curso 6</v>
      </c>
      <c r="D309" t="str">
        <f>INDEX(cursoDisciplina!$A$4:$F$112,MATCH(disciplinaGrade!B309,cursoDisciplina!$A$4:$A$112,0),MATCH(cursoDisciplina!$E$4,cursoDisciplina!$A$4:$F$4,0))</f>
        <v>Disciplina 7</v>
      </c>
      <c r="E309" t="s">
        <v>11</v>
      </c>
      <c r="F309" t="s">
        <v>10</v>
      </c>
      <c r="G309" s="25" t="s">
        <v>43</v>
      </c>
      <c r="H309" s="25" t="s">
        <v>43</v>
      </c>
      <c r="I309" s="25" t="s">
        <v>43</v>
      </c>
      <c r="J309" s="25" t="s">
        <v>43</v>
      </c>
      <c r="K309" s="25" t="s">
        <v>43</v>
      </c>
      <c r="L309" s="25" t="s">
        <v>43</v>
      </c>
    </row>
    <row r="310" spans="1:12" x14ac:dyDescent="0.25">
      <c r="A310" s="25">
        <v>307</v>
      </c>
      <c r="B310" s="25">
        <v>91</v>
      </c>
      <c r="C310" s="25" t="str">
        <f>INDEX(cursoDisciplina!$A$4:$F$112,MATCH(disciplinaGrade!B310,cursoDisciplina!$A$4:$A$112,0),MATCH(cursoDisciplina!$C$4,cursoDisciplina!$A$4:$F$4,0))</f>
        <v>curso 6</v>
      </c>
      <c r="D310" t="str">
        <f>INDEX(cursoDisciplina!$A$4:$F$112,MATCH(disciplinaGrade!B310,cursoDisciplina!$A$4:$A$112,0),MATCH(cursoDisciplina!$E$4,cursoDisciplina!$A$4:$F$4,0))</f>
        <v>Disciplina 8</v>
      </c>
      <c r="E310" t="s">
        <v>11</v>
      </c>
      <c r="F310" t="s">
        <v>10</v>
      </c>
      <c r="G310" s="25" t="s">
        <v>43</v>
      </c>
      <c r="H310" s="25" t="s">
        <v>43</v>
      </c>
      <c r="I310" s="25" t="s">
        <v>43</v>
      </c>
      <c r="J310" s="25" t="s">
        <v>43</v>
      </c>
      <c r="K310" s="25" t="s">
        <v>43</v>
      </c>
      <c r="L310" s="25" t="s">
        <v>43</v>
      </c>
    </row>
    <row r="311" spans="1:12" x14ac:dyDescent="0.25">
      <c r="A311" s="25">
        <v>308</v>
      </c>
      <c r="B311" s="25">
        <v>92</v>
      </c>
      <c r="C311" s="25" t="str">
        <f>INDEX(cursoDisciplina!$A$4:$F$112,MATCH(disciplinaGrade!B311,cursoDisciplina!$A$4:$A$112,0),MATCH(cursoDisciplina!$C$4,cursoDisciplina!$A$4:$F$4,0))</f>
        <v>curso 6</v>
      </c>
      <c r="D311" t="str">
        <f>INDEX(cursoDisciplina!$A$4:$F$112,MATCH(disciplinaGrade!B311,cursoDisciplina!$A$4:$A$112,0),MATCH(cursoDisciplina!$E$4,cursoDisciplina!$A$4:$F$4,0))</f>
        <v>Disciplina 9</v>
      </c>
      <c r="E311" t="s">
        <v>11</v>
      </c>
      <c r="F311" t="s">
        <v>10</v>
      </c>
      <c r="G311" s="25" t="s">
        <v>43</v>
      </c>
      <c r="H311" s="25" t="s">
        <v>43</v>
      </c>
      <c r="I311" s="25" t="s">
        <v>43</v>
      </c>
      <c r="J311" s="25" t="s">
        <v>43</v>
      </c>
      <c r="K311" s="25" t="s">
        <v>43</v>
      </c>
      <c r="L311" s="25" t="s">
        <v>43</v>
      </c>
    </row>
    <row r="312" spans="1:12" x14ac:dyDescent="0.25">
      <c r="A312" s="25">
        <v>309</v>
      </c>
      <c r="B312" s="25">
        <v>93</v>
      </c>
      <c r="C312" s="25" t="str">
        <f>INDEX(cursoDisciplina!$A$4:$F$112,MATCH(disciplinaGrade!B312,cursoDisciplina!$A$4:$A$112,0),MATCH(cursoDisciplina!$C$4,cursoDisciplina!$A$4:$F$4,0))</f>
        <v>curso 6</v>
      </c>
      <c r="D312" t="str">
        <f>INDEX(cursoDisciplina!$A$4:$F$112,MATCH(disciplinaGrade!B312,cursoDisciplina!$A$4:$A$112,0),MATCH(cursoDisciplina!$E$4,cursoDisciplina!$A$4:$F$4,0))</f>
        <v>Disciplina 10</v>
      </c>
      <c r="E312" t="s">
        <v>11</v>
      </c>
      <c r="F312" t="s">
        <v>10</v>
      </c>
      <c r="G312" s="25" t="s">
        <v>43</v>
      </c>
      <c r="H312" s="25" t="s">
        <v>43</v>
      </c>
      <c r="I312" s="25" t="s">
        <v>43</v>
      </c>
      <c r="J312" s="25" t="s">
        <v>43</v>
      </c>
      <c r="K312" s="25" t="s">
        <v>43</v>
      </c>
      <c r="L312" s="25" t="s">
        <v>43</v>
      </c>
    </row>
    <row r="313" spans="1:12" x14ac:dyDescent="0.25">
      <c r="A313" s="25">
        <v>310</v>
      </c>
      <c r="B313" s="25">
        <v>94</v>
      </c>
      <c r="C313" s="25" t="str">
        <f>INDEX(cursoDisciplina!$A$4:$F$112,MATCH(disciplinaGrade!B313,cursoDisciplina!$A$4:$A$112,0),MATCH(cursoDisciplina!$C$4,cursoDisciplina!$A$4:$F$4,0))</f>
        <v>curso 6</v>
      </c>
      <c r="D313" t="str">
        <f>INDEX(cursoDisciplina!$A$4:$F$112,MATCH(disciplinaGrade!B313,cursoDisciplina!$A$4:$A$112,0),MATCH(cursoDisciplina!$E$4,cursoDisciplina!$A$4:$F$4,0))</f>
        <v>Disciplina 11</v>
      </c>
      <c r="E313" t="s">
        <v>11</v>
      </c>
      <c r="F313" t="s">
        <v>10</v>
      </c>
      <c r="G313" s="25" t="s">
        <v>43</v>
      </c>
      <c r="H313" s="25" t="s">
        <v>43</v>
      </c>
      <c r="I313" s="25" t="s">
        <v>43</v>
      </c>
      <c r="J313" s="25" t="s">
        <v>43</v>
      </c>
      <c r="K313" s="25" t="s">
        <v>43</v>
      </c>
      <c r="L313" s="25" t="s">
        <v>43</v>
      </c>
    </row>
    <row r="314" spans="1:12" x14ac:dyDescent="0.25">
      <c r="A314" s="25">
        <v>311</v>
      </c>
      <c r="B314" s="25">
        <v>95</v>
      </c>
      <c r="C314" s="25" t="str">
        <f>INDEX(cursoDisciplina!$A$4:$F$112,MATCH(disciplinaGrade!B314,cursoDisciplina!$A$4:$A$112,0),MATCH(cursoDisciplina!$C$4,cursoDisciplina!$A$4:$F$4,0))</f>
        <v>curso 6</v>
      </c>
      <c r="D314" t="str">
        <f>INDEX(cursoDisciplina!$A$4:$F$112,MATCH(disciplinaGrade!B314,cursoDisciplina!$A$4:$A$112,0),MATCH(cursoDisciplina!$E$4,cursoDisciplina!$A$4:$F$4,0))</f>
        <v>Disciplina 12</v>
      </c>
      <c r="E314" t="s">
        <v>11</v>
      </c>
      <c r="F314" t="s">
        <v>10</v>
      </c>
      <c r="G314" s="25" t="s">
        <v>43</v>
      </c>
      <c r="H314" s="25" t="s">
        <v>43</v>
      </c>
      <c r="I314" s="25" t="s">
        <v>43</v>
      </c>
      <c r="J314" s="25" t="s">
        <v>43</v>
      </c>
      <c r="K314" s="25" t="s">
        <v>43</v>
      </c>
      <c r="L314" s="25" t="s">
        <v>43</v>
      </c>
    </row>
    <row r="315" spans="1:12" x14ac:dyDescent="0.25">
      <c r="A315" s="25">
        <v>312</v>
      </c>
      <c r="B315" s="25">
        <v>96</v>
      </c>
      <c r="C315" s="25" t="str">
        <f>INDEX(cursoDisciplina!$A$4:$F$112,MATCH(disciplinaGrade!B315,cursoDisciplina!$A$4:$A$112,0),MATCH(cursoDisciplina!$C$4,cursoDisciplina!$A$4:$F$4,0))</f>
        <v>curso 6</v>
      </c>
      <c r="D315" t="str">
        <f>INDEX(cursoDisciplina!$A$4:$F$112,MATCH(disciplinaGrade!B315,cursoDisciplina!$A$4:$A$112,0),MATCH(cursoDisciplina!$E$4,cursoDisciplina!$A$4:$F$4,0))</f>
        <v>Disciplina 13</v>
      </c>
      <c r="E315" t="s">
        <v>11</v>
      </c>
      <c r="F315" t="s">
        <v>10</v>
      </c>
      <c r="G315" s="25" t="s">
        <v>43</v>
      </c>
      <c r="H315" s="25" t="s">
        <v>43</v>
      </c>
      <c r="I315" s="25" t="s">
        <v>43</v>
      </c>
      <c r="J315" s="25" t="s">
        <v>43</v>
      </c>
      <c r="K315" s="25" t="s">
        <v>43</v>
      </c>
      <c r="L315" s="25" t="s">
        <v>43</v>
      </c>
    </row>
    <row r="316" spans="1:12" x14ac:dyDescent="0.25">
      <c r="A316" s="25">
        <v>313</v>
      </c>
      <c r="B316" s="25">
        <v>97</v>
      </c>
      <c r="C316" s="25" t="str">
        <f>INDEX(cursoDisciplina!$A$4:$F$112,MATCH(disciplinaGrade!B316,cursoDisciplina!$A$4:$A$112,0),MATCH(cursoDisciplina!$C$4,cursoDisciplina!$A$4:$F$4,0))</f>
        <v>curso 6</v>
      </c>
      <c r="D316" t="str">
        <f>INDEX(cursoDisciplina!$A$4:$F$112,MATCH(disciplinaGrade!B316,cursoDisciplina!$A$4:$A$112,0),MATCH(cursoDisciplina!$E$4,cursoDisciplina!$A$4:$F$4,0))</f>
        <v>Disciplina 14</v>
      </c>
      <c r="E316" t="s">
        <v>11</v>
      </c>
      <c r="F316" t="s">
        <v>10</v>
      </c>
      <c r="G316" s="25" t="s">
        <v>43</v>
      </c>
      <c r="H316" s="25" t="s">
        <v>43</v>
      </c>
      <c r="I316" s="25" t="s">
        <v>43</v>
      </c>
      <c r="J316" s="25" t="s">
        <v>43</v>
      </c>
      <c r="K316" s="25" t="s">
        <v>43</v>
      </c>
      <c r="L316" s="25" t="s">
        <v>43</v>
      </c>
    </row>
    <row r="317" spans="1:12" x14ac:dyDescent="0.25">
      <c r="A317" s="25">
        <v>314</v>
      </c>
      <c r="B317" s="25">
        <v>98</v>
      </c>
      <c r="C317" s="25" t="str">
        <f>INDEX(cursoDisciplina!$A$4:$F$112,MATCH(disciplinaGrade!B317,cursoDisciplina!$A$4:$A$112,0),MATCH(cursoDisciplina!$C$4,cursoDisciplina!$A$4:$F$4,0))</f>
        <v>curso 6</v>
      </c>
      <c r="D317" t="str">
        <f>INDEX(cursoDisciplina!$A$4:$F$112,MATCH(disciplinaGrade!B317,cursoDisciplina!$A$4:$A$112,0),MATCH(cursoDisciplina!$E$4,cursoDisciplina!$A$4:$F$4,0))</f>
        <v>Disciplina 15</v>
      </c>
      <c r="E317" t="s">
        <v>11</v>
      </c>
      <c r="F317" t="s">
        <v>10</v>
      </c>
      <c r="G317" s="25" t="s">
        <v>43</v>
      </c>
      <c r="H317" s="25" t="s">
        <v>43</v>
      </c>
      <c r="I317" s="25" t="s">
        <v>43</v>
      </c>
      <c r="J317" s="25" t="s">
        <v>43</v>
      </c>
      <c r="K317" s="25" t="s">
        <v>43</v>
      </c>
      <c r="L317" s="25" t="s">
        <v>43</v>
      </c>
    </row>
    <row r="318" spans="1:12" x14ac:dyDescent="0.25">
      <c r="A318" s="25">
        <v>315</v>
      </c>
      <c r="B318" s="25">
        <v>99</v>
      </c>
      <c r="C318" s="25" t="str">
        <f>INDEX(cursoDisciplina!$A$4:$F$112,MATCH(disciplinaGrade!B318,cursoDisciplina!$A$4:$A$112,0),MATCH(cursoDisciplina!$C$4,cursoDisciplina!$A$4:$F$4,0))</f>
        <v>curso 6</v>
      </c>
      <c r="D318" t="str">
        <f>INDEX(cursoDisciplina!$A$4:$F$112,MATCH(disciplinaGrade!B318,cursoDisciplina!$A$4:$A$112,0),MATCH(cursoDisciplina!$E$4,cursoDisciplina!$A$4:$F$4,0))</f>
        <v>Disciplina 16</v>
      </c>
      <c r="E318" t="s">
        <v>11</v>
      </c>
      <c r="F318" t="s">
        <v>10</v>
      </c>
      <c r="G318" s="25" t="s">
        <v>43</v>
      </c>
      <c r="H318" s="25" t="s">
        <v>43</v>
      </c>
      <c r="I318" s="25" t="s">
        <v>43</v>
      </c>
      <c r="J318" s="25" t="s">
        <v>43</v>
      </c>
      <c r="K318" s="25" t="s">
        <v>43</v>
      </c>
      <c r="L318" s="25" t="s">
        <v>43</v>
      </c>
    </row>
    <row r="319" spans="1:12" x14ac:dyDescent="0.25">
      <c r="A319" s="25">
        <v>316</v>
      </c>
      <c r="B319" s="25">
        <v>100</v>
      </c>
      <c r="C319" s="25" t="str">
        <f>INDEX(cursoDisciplina!$A$4:$F$112,MATCH(disciplinaGrade!B319,cursoDisciplina!$A$4:$A$112,0),MATCH(cursoDisciplina!$C$4,cursoDisciplina!$A$4:$F$4,0))</f>
        <v>curso 6</v>
      </c>
      <c r="D319" t="str">
        <f>INDEX(cursoDisciplina!$A$4:$F$112,MATCH(disciplinaGrade!B319,cursoDisciplina!$A$4:$A$112,0),MATCH(cursoDisciplina!$E$4,cursoDisciplina!$A$4:$F$4,0))</f>
        <v>Disciplina 17</v>
      </c>
      <c r="E319" t="s">
        <v>11</v>
      </c>
      <c r="F319" t="s">
        <v>10</v>
      </c>
      <c r="G319" s="25" t="s">
        <v>43</v>
      </c>
      <c r="H319" s="25" t="s">
        <v>43</v>
      </c>
      <c r="I319" s="25" t="s">
        <v>43</v>
      </c>
      <c r="J319" s="25" t="s">
        <v>43</v>
      </c>
      <c r="K319" s="25" t="s">
        <v>43</v>
      </c>
      <c r="L319" s="25" t="s">
        <v>43</v>
      </c>
    </row>
    <row r="320" spans="1:12" x14ac:dyDescent="0.25">
      <c r="A320" s="25">
        <v>317</v>
      </c>
      <c r="B320" s="25">
        <v>101</v>
      </c>
      <c r="C320" s="25" t="str">
        <f>INDEX(cursoDisciplina!$A$4:$F$112,MATCH(disciplinaGrade!B320,cursoDisciplina!$A$4:$A$112,0),MATCH(cursoDisciplina!$C$4,cursoDisciplina!$A$4:$F$4,0))</f>
        <v>curso 6</v>
      </c>
      <c r="D320" t="str">
        <f>INDEX(cursoDisciplina!$A$4:$F$112,MATCH(disciplinaGrade!B320,cursoDisciplina!$A$4:$A$112,0),MATCH(cursoDisciplina!$E$4,cursoDisciplina!$A$4:$F$4,0))</f>
        <v>Disciplina 18</v>
      </c>
      <c r="E320" t="s">
        <v>11</v>
      </c>
      <c r="F320" t="s">
        <v>10</v>
      </c>
      <c r="G320" s="25" t="s">
        <v>43</v>
      </c>
      <c r="H320" s="25" t="s">
        <v>43</v>
      </c>
      <c r="I320" s="25" t="s">
        <v>43</v>
      </c>
      <c r="J320" s="25" t="s">
        <v>43</v>
      </c>
      <c r="K320" s="25" t="s">
        <v>43</v>
      </c>
      <c r="L320" s="25" t="s">
        <v>43</v>
      </c>
    </row>
    <row r="321" spans="1:12" x14ac:dyDescent="0.25">
      <c r="A321" s="25">
        <v>318</v>
      </c>
      <c r="B321" s="25">
        <v>102</v>
      </c>
      <c r="C321" s="25" t="str">
        <f>INDEX(cursoDisciplina!$A$4:$F$112,MATCH(disciplinaGrade!B321,cursoDisciplina!$A$4:$A$112,0),MATCH(cursoDisciplina!$C$4,cursoDisciplina!$A$4:$F$4,0))</f>
        <v>curso 6</v>
      </c>
      <c r="D321" t="str">
        <f>INDEX(cursoDisciplina!$A$4:$F$112,MATCH(disciplinaGrade!B321,cursoDisciplina!$A$4:$A$112,0),MATCH(cursoDisciplina!$E$4,cursoDisciplina!$A$4:$F$4,0))</f>
        <v>Disciplina 19</v>
      </c>
      <c r="E321" t="s">
        <v>11</v>
      </c>
      <c r="F321" t="s">
        <v>10</v>
      </c>
      <c r="G321" s="25" t="s">
        <v>43</v>
      </c>
      <c r="H321" s="25" t="s">
        <v>43</v>
      </c>
      <c r="I321" s="25" t="s">
        <v>43</v>
      </c>
      <c r="J321" s="25" t="s">
        <v>43</v>
      </c>
      <c r="K321" s="25" t="s">
        <v>43</v>
      </c>
      <c r="L321" s="25" t="s">
        <v>43</v>
      </c>
    </row>
    <row r="322" spans="1:12" x14ac:dyDescent="0.25">
      <c r="A322" s="25">
        <v>319</v>
      </c>
      <c r="B322" s="25">
        <v>103</v>
      </c>
      <c r="C322" s="25" t="str">
        <f>INDEX(cursoDisciplina!$A$4:$F$112,MATCH(disciplinaGrade!B322,cursoDisciplina!$A$4:$A$112,0),MATCH(cursoDisciplina!$C$4,cursoDisciplina!$A$4:$F$4,0))</f>
        <v>curso 6</v>
      </c>
      <c r="D322" t="str">
        <f>INDEX(cursoDisciplina!$A$4:$F$112,MATCH(disciplinaGrade!B322,cursoDisciplina!$A$4:$A$112,0),MATCH(cursoDisciplina!$E$4,cursoDisciplina!$A$4:$F$4,0))</f>
        <v>Disciplina 20</v>
      </c>
      <c r="E322" t="s">
        <v>11</v>
      </c>
      <c r="F322" t="s">
        <v>10</v>
      </c>
      <c r="G322" s="25" t="s">
        <v>43</v>
      </c>
      <c r="H322" s="25" t="s">
        <v>43</v>
      </c>
      <c r="I322" s="25" t="s">
        <v>43</v>
      </c>
      <c r="J322" s="25" t="s">
        <v>43</v>
      </c>
      <c r="K322" s="25" t="s">
        <v>43</v>
      </c>
      <c r="L322" s="25" t="s">
        <v>43</v>
      </c>
    </row>
    <row r="323" spans="1:12" x14ac:dyDescent="0.25">
      <c r="A323" s="25">
        <v>320</v>
      </c>
      <c r="B323" s="25">
        <v>104</v>
      </c>
      <c r="C323" s="25" t="str">
        <f>INDEX(cursoDisciplina!$A$4:$F$112,MATCH(disciplinaGrade!B323,cursoDisciplina!$A$4:$A$112,0),MATCH(cursoDisciplina!$C$4,cursoDisciplina!$A$4:$F$4,0))</f>
        <v>curso 6</v>
      </c>
      <c r="D323" t="str">
        <f>INDEX(cursoDisciplina!$A$4:$F$112,MATCH(disciplinaGrade!B323,cursoDisciplina!$A$4:$A$112,0),MATCH(cursoDisciplina!$E$4,cursoDisciplina!$A$4:$F$4,0))</f>
        <v>Disciplina 21</v>
      </c>
      <c r="E323" t="s">
        <v>11</v>
      </c>
      <c r="F323" t="s">
        <v>10</v>
      </c>
      <c r="G323" s="25" t="s">
        <v>43</v>
      </c>
      <c r="H323" s="25" t="s">
        <v>43</v>
      </c>
      <c r="I323" s="25" t="s">
        <v>43</v>
      </c>
      <c r="J323" s="25" t="s">
        <v>43</v>
      </c>
      <c r="K323" s="25" t="s">
        <v>43</v>
      </c>
      <c r="L323" s="25" t="s">
        <v>43</v>
      </c>
    </row>
    <row r="324" spans="1:12" x14ac:dyDescent="0.25">
      <c r="A324" s="25">
        <v>321</v>
      </c>
      <c r="B324" s="25">
        <v>105</v>
      </c>
      <c r="C324" s="25" t="str">
        <f>INDEX(cursoDisciplina!$A$4:$F$112,MATCH(disciplinaGrade!B324,cursoDisciplina!$A$4:$A$112,0),MATCH(cursoDisciplina!$C$4,cursoDisciplina!$A$4:$F$4,0))</f>
        <v>curso 6</v>
      </c>
      <c r="D324" t="str">
        <f>INDEX(cursoDisciplina!$A$4:$F$112,MATCH(disciplinaGrade!B324,cursoDisciplina!$A$4:$A$112,0),MATCH(cursoDisciplina!$E$4,cursoDisciplina!$A$4:$F$4,0))</f>
        <v>Disciplina 22</v>
      </c>
      <c r="E324" t="s">
        <v>11</v>
      </c>
      <c r="F324" t="s">
        <v>10</v>
      </c>
      <c r="G324" s="25" t="s">
        <v>43</v>
      </c>
      <c r="H324" s="25" t="s">
        <v>43</v>
      </c>
      <c r="I324" s="25" t="s">
        <v>43</v>
      </c>
      <c r="J324" s="25" t="s">
        <v>43</v>
      </c>
      <c r="K324" s="25" t="s">
        <v>43</v>
      </c>
      <c r="L324" s="25" t="s">
        <v>43</v>
      </c>
    </row>
    <row r="325" spans="1:12" x14ac:dyDescent="0.25">
      <c r="A325" s="25">
        <v>322</v>
      </c>
      <c r="B325" s="25">
        <v>106</v>
      </c>
      <c r="C325" s="25" t="str">
        <f>INDEX(cursoDisciplina!$A$4:$F$112,MATCH(disciplinaGrade!B325,cursoDisciplina!$A$4:$A$112,0),MATCH(cursoDisciplina!$C$4,cursoDisciplina!$A$4:$F$4,0))</f>
        <v>curso 6</v>
      </c>
      <c r="D325" t="str">
        <f>INDEX(cursoDisciplina!$A$4:$F$112,MATCH(disciplinaGrade!B325,cursoDisciplina!$A$4:$A$112,0),MATCH(cursoDisciplina!$E$4,cursoDisciplina!$A$4:$F$4,0))</f>
        <v>Disciplina 23</v>
      </c>
      <c r="E325" t="s">
        <v>11</v>
      </c>
      <c r="F325" t="s">
        <v>10</v>
      </c>
      <c r="G325" s="25" t="s">
        <v>43</v>
      </c>
      <c r="H325" s="25" t="s">
        <v>43</v>
      </c>
      <c r="I325" s="25" t="s">
        <v>43</v>
      </c>
      <c r="J325" s="25" t="s">
        <v>43</v>
      </c>
      <c r="K325" s="25" t="s">
        <v>43</v>
      </c>
      <c r="L325" s="25" t="s">
        <v>43</v>
      </c>
    </row>
    <row r="326" spans="1:12" x14ac:dyDescent="0.25">
      <c r="A326" s="25">
        <v>323</v>
      </c>
      <c r="B326" s="25">
        <v>107</v>
      </c>
      <c r="C326" s="25" t="str">
        <f>INDEX(cursoDisciplina!$A$4:$F$112,MATCH(disciplinaGrade!B326,cursoDisciplina!$A$4:$A$112,0),MATCH(cursoDisciplina!$C$4,cursoDisciplina!$A$4:$F$4,0))</f>
        <v>curso 6</v>
      </c>
      <c r="D326" t="str">
        <f>INDEX(cursoDisciplina!$A$4:$F$112,MATCH(disciplinaGrade!B326,cursoDisciplina!$A$4:$A$112,0),MATCH(cursoDisciplina!$E$4,cursoDisciplina!$A$4:$F$4,0))</f>
        <v>Disciplina 24</v>
      </c>
      <c r="E326" t="s">
        <v>11</v>
      </c>
      <c r="F326" t="s">
        <v>10</v>
      </c>
      <c r="G326" s="25" t="s">
        <v>43</v>
      </c>
      <c r="H326" s="25" t="s">
        <v>43</v>
      </c>
      <c r="I326" s="25" t="s">
        <v>43</v>
      </c>
      <c r="J326" s="25" t="s">
        <v>43</v>
      </c>
      <c r="K326" s="25" t="s">
        <v>43</v>
      </c>
      <c r="L326" s="25" t="s">
        <v>43</v>
      </c>
    </row>
    <row r="327" spans="1:12" x14ac:dyDescent="0.25">
      <c r="A327" s="25">
        <v>324</v>
      </c>
      <c r="B327" s="25">
        <v>108</v>
      </c>
      <c r="C327" s="25" t="str">
        <f>INDEX(cursoDisciplina!$A$4:$F$112,MATCH(disciplinaGrade!B327,cursoDisciplina!$A$4:$A$112,0),MATCH(cursoDisciplina!$C$4,cursoDisciplina!$A$4:$F$4,0))</f>
        <v>curso 6</v>
      </c>
      <c r="D327" t="str">
        <f>INDEX(cursoDisciplina!$A$4:$F$112,MATCH(disciplinaGrade!B327,cursoDisciplina!$A$4:$A$112,0),MATCH(cursoDisciplina!$E$4,cursoDisciplina!$A$4:$F$4,0))</f>
        <v>Disciplina 25</v>
      </c>
      <c r="E327" t="s">
        <v>11</v>
      </c>
      <c r="F327" t="s">
        <v>10</v>
      </c>
      <c r="G327" s="25" t="s">
        <v>43</v>
      </c>
      <c r="H327" s="25" t="s">
        <v>43</v>
      </c>
      <c r="I327" s="25" t="s">
        <v>43</v>
      </c>
      <c r="J327" s="25" t="s">
        <v>43</v>
      </c>
      <c r="K327" s="25" t="s">
        <v>43</v>
      </c>
      <c r="L327" s="25" t="s">
        <v>43</v>
      </c>
    </row>
    <row r="328" spans="1:12" x14ac:dyDescent="0.25">
      <c r="A328" s="25">
        <v>325</v>
      </c>
      <c r="B328" s="25">
        <v>1</v>
      </c>
      <c r="C328" s="25" t="str">
        <f>INDEX(cursoDisciplina!$A$4:$F$112,MATCH(disciplinaGrade!B328,cursoDisciplina!$A$4:$A$112,0),MATCH(cursoDisciplina!$C$4,cursoDisciplina!$A$4:$F$4,0))</f>
        <v>ADS</v>
      </c>
      <c r="D328" t="str">
        <f>INDEX(cursoDisciplina!$A$4:$F$112,MATCH(disciplinaGrade!B328,cursoDisciplina!$A$4:$A$112,0),MATCH(cursoDisciplina!$E$4,cursoDisciplina!$A$4:$F$4,0))</f>
        <v>laboratóeio de engenharia de Software</v>
      </c>
      <c r="E328" t="s">
        <v>11</v>
      </c>
      <c r="F328" t="s">
        <v>10</v>
      </c>
      <c r="G328" s="25" t="s">
        <v>43</v>
      </c>
      <c r="H328" s="25" t="s">
        <v>43</v>
      </c>
      <c r="I328" s="25" t="s">
        <v>43</v>
      </c>
      <c r="J328" s="25" t="s">
        <v>43</v>
      </c>
      <c r="K328" s="25" t="s">
        <v>43</v>
      </c>
      <c r="L328" s="25" t="s">
        <v>43</v>
      </c>
    </row>
    <row r="329" spans="1:12" x14ac:dyDescent="0.25">
      <c r="A329" s="25">
        <v>326</v>
      </c>
      <c r="B329" s="25">
        <v>2</v>
      </c>
      <c r="C329" s="25" t="str">
        <f>INDEX(cursoDisciplina!$A$4:$F$112,MATCH(disciplinaGrade!B329,cursoDisciplina!$A$4:$A$112,0),MATCH(cursoDisciplina!$C$4,cursoDisciplina!$A$4:$F$4,0))</f>
        <v>ADS</v>
      </c>
      <c r="D329" t="str">
        <f>INDEX(cursoDisciplina!$A$4:$F$112,MATCH(disciplinaGrade!B329,cursoDisciplina!$A$4:$A$112,0),MATCH(cursoDisciplina!$E$4,cursoDisciplina!$A$4:$F$4,0))</f>
        <v>Estrutura de Dados</v>
      </c>
      <c r="E329" t="s">
        <v>11</v>
      </c>
      <c r="F329" t="s">
        <v>10</v>
      </c>
      <c r="G329" s="25" t="s">
        <v>43</v>
      </c>
      <c r="H329" s="25" t="s">
        <v>43</v>
      </c>
      <c r="I329" s="25" t="s">
        <v>43</v>
      </c>
      <c r="J329" s="25" t="s">
        <v>43</v>
      </c>
      <c r="K329" s="25" t="s">
        <v>43</v>
      </c>
      <c r="L329" s="25" t="s">
        <v>43</v>
      </c>
    </row>
    <row r="330" spans="1:12" x14ac:dyDescent="0.25">
      <c r="A330" s="25">
        <v>327</v>
      </c>
      <c r="B330" s="25">
        <v>3</v>
      </c>
      <c r="C330" s="25" t="str">
        <f>INDEX(cursoDisciplina!$A$4:$F$112,MATCH(disciplinaGrade!B330,cursoDisciplina!$A$4:$A$112,0),MATCH(cursoDisciplina!$C$4,cursoDisciplina!$A$4:$F$4,0))</f>
        <v>ADS</v>
      </c>
      <c r="D330" t="str">
        <f>INDEX(cursoDisciplina!$A$4:$F$112,MATCH(disciplinaGrade!B330,cursoDisciplina!$A$4:$A$112,0),MATCH(cursoDisciplina!$E$4,cursoDisciplina!$A$4:$F$4,0))</f>
        <v>PEM</v>
      </c>
      <c r="E330" t="s">
        <v>11</v>
      </c>
      <c r="F330" t="s">
        <v>10</v>
      </c>
      <c r="G330" s="25" t="s">
        <v>43</v>
      </c>
      <c r="H330" s="25" t="s">
        <v>43</v>
      </c>
      <c r="I330" s="25" t="s">
        <v>43</v>
      </c>
      <c r="J330" s="25" t="s">
        <v>43</v>
      </c>
      <c r="K330" s="25" t="s">
        <v>43</v>
      </c>
      <c r="L330" s="25" t="s">
        <v>43</v>
      </c>
    </row>
    <row r="331" spans="1:12" x14ac:dyDescent="0.25">
      <c r="A331" s="25">
        <v>328</v>
      </c>
      <c r="B331" s="25">
        <v>4</v>
      </c>
      <c r="C331" s="25" t="str">
        <f>INDEX(cursoDisciplina!$A$4:$F$112,MATCH(disciplinaGrade!B331,cursoDisciplina!$A$4:$A$112,0),MATCH(cursoDisciplina!$C$4,cursoDisciplina!$A$4:$F$4,0))</f>
        <v>BigData</v>
      </c>
      <c r="D331" t="str">
        <f>INDEX(cursoDisciplina!$A$4:$F$112,MATCH(disciplinaGrade!B331,cursoDisciplina!$A$4:$A$112,0),MATCH(cursoDisciplina!$E$4,cursoDisciplina!$A$4:$F$4,0))</f>
        <v>Estrutura de Dados</v>
      </c>
      <c r="E331" t="s">
        <v>11</v>
      </c>
      <c r="F331" t="s">
        <v>10</v>
      </c>
      <c r="G331" s="25" t="s">
        <v>43</v>
      </c>
      <c r="H331" s="25" t="s">
        <v>43</v>
      </c>
      <c r="I331" s="25" t="s">
        <v>43</v>
      </c>
      <c r="J331" s="25" t="s">
        <v>43</v>
      </c>
      <c r="K331" s="25" t="s">
        <v>43</v>
      </c>
      <c r="L331" s="25" t="s">
        <v>43</v>
      </c>
    </row>
    <row r="332" spans="1:12" x14ac:dyDescent="0.25">
      <c r="A332" s="25">
        <v>329</v>
      </c>
      <c r="B332" s="25">
        <v>5</v>
      </c>
      <c r="C332" s="25" t="str">
        <f>INDEX(cursoDisciplina!$A$4:$F$112,MATCH(disciplinaGrade!B332,cursoDisciplina!$A$4:$A$112,0),MATCH(cursoDisciplina!$C$4,cursoDisciplina!$A$4:$F$4,0))</f>
        <v>ADS</v>
      </c>
      <c r="D332" t="str">
        <f>INDEX(cursoDisciplina!$A$4:$F$112,MATCH(disciplinaGrade!B332,cursoDisciplina!$A$4:$A$112,0),MATCH(cursoDisciplina!$E$4,cursoDisciplina!$A$4:$F$4,0))</f>
        <v>Disciplina 5</v>
      </c>
      <c r="E332" t="s">
        <v>11</v>
      </c>
      <c r="F332" t="s">
        <v>10</v>
      </c>
      <c r="G332" s="25" t="s">
        <v>43</v>
      </c>
      <c r="H332" s="25" t="s">
        <v>43</v>
      </c>
      <c r="I332" s="25" t="s">
        <v>43</v>
      </c>
      <c r="J332" s="25" t="s">
        <v>43</v>
      </c>
      <c r="K332" s="25" t="s">
        <v>43</v>
      </c>
      <c r="L332" s="25" t="s">
        <v>43</v>
      </c>
    </row>
    <row r="333" spans="1:12" x14ac:dyDescent="0.25">
      <c r="A333" s="25">
        <v>330</v>
      </c>
      <c r="B333" s="25">
        <v>6</v>
      </c>
      <c r="C333" s="25" t="str">
        <f>INDEX(cursoDisciplina!$A$4:$F$112,MATCH(disciplinaGrade!B333,cursoDisciplina!$A$4:$A$112,0),MATCH(cursoDisciplina!$C$4,cursoDisciplina!$A$4:$F$4,0))</f>
        <v>ADS</v>
      </c>
      <c r="D333" t="str">
        <f>INDEX(cursoDisciplina!$A$4:$F$112,MATCH(disciplinaGrade!B333,cursoDisciplina!$A$4:$A$112,0),MATCH(cursoDisciplina!$E$4,cursoDisciplina!$A$4:$F$4,0))</f>
        <v>Disciplina 6</v>
      </c>
      <c r="E333" t="s">
        <v>11</v>
      </c>
      <c r="F333" t="s">
        <v>10</v>
      </c>
      <c r="G333" s="25" t="s">
        <v>43</v>
      </c>
      <c r="H333" s="25" t="s">
        <v>43</v>
      </c>
      <c r="I333" s="25" t="s">
        <v>43</v>
      </c>
      <c r="J333" s="25" t="s">
        <v>43</v>
      </c>
      <c r="K333" s="25" t="s">
        <v>43</v>
      </c>
      <c r="L333" s="25" t="s">
        <v>43</v>
      </c>
    </row>
    <row r="334" spans="1:12" x14ac:dyDescent="0.25">
      <c r="A334" s="25">
        <v>331</v>
      </c>
      <c r="B334" s="25">
        <v>7</v>
      </c>
      <c r="C334" s="25" t="str">
        <f>INDEX(cursoDisciplina!$A$4:$F$112,MATCH(disciplinaGrade!B334,cursoDisciplina!$A$4:$A$112,0),MATCH(cursoDisciplina!$C$4,cursoDisciplina!$A$4:$F$4,0))</f>
        <v>ADS</v>
      </c>
      <c r="D334" t="str">
        <f>INDEX(cursoDisciplina!$A$4:$F$112,MATCH(disciplinaGrade!B334,cursoDisciplina!$A$4:$A$112,0),MATCH(cursoDisciplina!$E$4,cursoDisciplina!$A$4:$F$4,0))</f>
        <v>Disciplina 7</v>
      </c>
      <c r="E334" t="s">
        <v>11</v>
      </c>
      <c r="F334" t="s">
        <v>10</v>
      </c>
      <c r="G334" s="25" t="s">
        <v>43</v>
      </c>
      <c r="H334" s="25" t="s">
        <v>43</v>
      </c>
      <c r="I334" s="25" t="s">
        <v>43</v>
      </c>
      <c r="J334" s="25" t="s">
        <v>43</v>
      </c>
      <c r="K334" s="25" t="s">
        <v>43</v>
      </c>
      <c r="L334" s="25" t="s">
        <v>43</v>
      </c>
    </row>
    <row r="335" spans="1:12" x14ac:dyDescent="0.25">
      <c r="A335" s="25">
        <v>332</v>
      </c>
      <c r="B335" s="25">
        <v>8</v>
      </c>
      <c r="C335" s="25" t="str">
        <f>INDEX(cursoDisciplina!$A$4:$F$112,MATCH(disciplinaGrade!B335,cursoDisciplina!$A$4:$A$112,0),MATCH(cursoDisciplina!$C$4,cursoDisciplina!$A$4:$F$4,0))</f>
        <v>ADS</v>
      </c>
      <c r="D335" t="str">
        <f>INDEX(cursoDisciplina!$A$4:$F$112,MATCH(disciplinaGrade!B335,cursoDisciplina!$A$4:$A$112,0),MATCH(cursoDisciplina!$E$4,cursoDisciplina!$A$4:$F$4,0))</f>
        <v>Disciplina 8</v>
      </c>
      <c r="E335" t="s">
        <v>11</v>
      </c>
      <c r="F335" t="s">
        <v>10</v>
      </c>
      <c r="G335" s="25" t="s">
        <v>43</v>
      </c>
      <c r="H335" s="25" t="s">
        <v>43</v>
      </c>
      <c r="I335" s="25" t="s">
        <v>43</v>
      </c>
      <c r="J335" s="25" t="s">
        <v>43</v>
      </c>
      <c r="K335" s="25" t="s">
        <v>43</v>
      </c>
      <c r="L335" s="25" t="s">
        <v>43</v>
      </c>
    </row>
    <row r="336" spans="1:12" x14ac:dyDescent="0.25">
      <c r="A336" s="25">
        <v>333</v>
      </c>
      <c r="B336" s="25">
        <v>9</v>
      </c>
      <c r="C336" s="25" t="str">
        <f>INDEX(cursoDisciplina!$A$4:$F$112,MATCH(disciplinaGrade!B336,cursoDisciplina!$A$4:$A$112,0),MATCH(cursoDisciplina!$C$4,cursoDisciplina!$A$4:$F$4,0))</f>
        <v>ADS</v>
      </c>
      <c r="D336" t="str">
        <f>INDEX(cursoDisciplina!$A$4:$F$112,MATCH(disciplinaGrade!B336,cursoDisciplina!$A$4:$A$112,0),MATCH(cursoDisciplina!$E$4,cursoDisciplina!$A$4:$F$4,0))</f>
        <v>Disciplina 9</v>
      </c>
      <c r="E336" t="s">
        <v>11</v>
      </c>
      <c r="F336" t="s">
        <v>10</v>
      </c>
      <c r="G336" s="25" t="s">
        <v>43</v>
      </c>
      <c r="H336" s="25" t="s">
        <v>43</v>
      </c>
      <c r="I336" s="25" t="s">
        <v>43</v>
      </c>
      <c r="J336" s="25" t="s">
        <v>43</v>
      </c>
      <c r="K336" s="25" t="s">
        <v>43</v>
      </c>
      <c r="L336" s="25" t="s">
        <v>43</v>
      </c>
    </row>
    <row r="337" spans="1:12" x14ac:dyDescent="0.25">
      <c r="A337" s="25">
        <v>334</v>
      </c>
      <c r="B337" s="25">
        <v>10</v>
      </c>
      <c r="C337" s="25" t="str">
        <f>INDEX(cursoDisciplina!$A$4:$F$112,MATCH(disciplinaGrade!B337,cursoDisciplina!$A$4:$A$112,0),MATCH(cursoDisciplina!$C$4,cursoDisciplina!$A$4:$F$4,0))</f>
        <v>ADS</v>
      </c>
      <c r="D337" t="str">
        <f>INDEX(cursoDisciplina!$A$4:$F$112,MATCH(disciplinaGrade!B337,cursoDisciplina!$A$4:$A$112,0),MATCH(cursoDisciplina!$E$4,cursoDisciplina!$A$4:$F$4,0))</f>
        <v>Disciplina 10</v>
      </c>
      <c r="E337" t="s">
        <v>11</v>
      </c>
      <c r="F337" t="s">
        <v>10</v>
      </c>
      <c r="G337" s="25" t="s">
        <v>43</v>
      </c>
      <c r="H337" s="25" t="s">
        <v>43</v>
      </c>
      <c r="I337" s="25" t="s">
        <v>43</v>
      </c>
      <c r="J337" s="25" t="s">
        <v>43</v>
      </c>
      <c r="K337" s="25" t="s">
        <v>43</v>
      </c>
      <c r="L337" s="25" t="s">
        <v>43</v>
      </c>
    </row>
    <row r="338" spans="1:12" x14ac:dyDescent="0.25">
      <c r="A338" s="25">
        <v>335</v>
      </c>
      <c r="B338" s="25">
        <v>11</v>
      </c>
      <c r="C338" s="25" t="str">
        <f>INDEX(cursoDisciplina!$A$4:$F$112,MATCH(disciplinaGrade!B338,cursoDisciplina!$A$4:$A$112,0),MATCH(cursoDisciplina!$C$4,cursoDisciplina!$A$4:$F$4,0))</f>
        <v>ADS</v>
      </c>
      <c r="D338" t="str">
        <f>INDEX(cursoDisciplina!$A$4:$F$112,MATCH(disciplinaGrade!B338,cursoDisciplina!$A$4:$A$112,0),MATCH(cursoDisciplina!$E$4,cursoDisciplina!$A$4:$F$4,0))</f>
        <v>Disciplina 11</v>
      </c>
      <c r="E338" t="s">
        <v>11</v>
      </c>
      <c r="F338" t="s">
        <v>10</v>
      </c>
      <c r="G338" s="25" t="s">
        <v>43</v>
      </c>
      <c r="H338" s="25" t="s">
        <v>43</v>
      </c>
      <c r="I338" s="25" t="s">
        <v>43</v>
      </c>
      <c r="J338" s="25" t="s">
        <v>43</v>
      </c>
      <c r="K338" s="25" t="s">
        <v>43</v>
      </c>
      <c r="L338" s="25" t="s">
        <v>43</v>
      </c>
    </row>
    <row r="339" spans="1:12" x14ac:dyDescent="0.25">
      <c r="A339" s="25">
        <v>336</v>
      </c>
      <c r="B339" s="25">
        <v>12</v>
      </c>
      <c r="C339" s="25" t="str">
        <f>INDEX(cursoDisciplina!$A$4:$F$112,MATCH(disciplinaGrade!B339,cursoDisciplina!$A$4:$A$112,0),MATCH(cursoDisciplina!$C$4,cursoDisciplina!$A$4:$F$4,0))</f>
        <v>ADS</v>
      </c>
      <c r="D339" t="str">
        <f>INDEX(cursoDisciplina!$A$4:$F$112,MATCH(disciplinaGrade!B339,cursoDisciplina!$A$4:$A$112,0),MATCH(cursoDisciplina!$E$4,cursoDisciplina!$A$4:$F$4,0))</f>
        <v>Disciplina 12</v>
      </c>
      <c r="E339" t="s">
        <v>11</v>
      </c>
      <c r="F339" t="s">
        <v>10</v>
      </c>
      <c r="G339" s="25" t="s">
        <v>43</v>
      </c>
      <c r="H339" s="25" t="s">
        <v>43</v>
      </c>
      <c r="I339" s="25" t="s">
        <v>43</v>
      </c>
      <c r="J339" s="25" t="s">
        <v>43</v>
      </c>
      <c r="K339" s="25" t="s">
        <v>43</v>
      </c>
      <c r="L339" s="25" t="s">
        <v>43</v>
      </c>
    </row>
    <row r="340" spans="1:12" x14ac:dyDescent="0.25">
      <c r="A340" s="25">
        <v>337</v>
      </c>
      <c r="B340" s="25">
        <v>13</v>
      </c>
      <c r="C340" s="25" t="str">
        <f>INDEX(cursoDisciplina!$A$4:$F$112,MATCH(disciplinaGrade!B340,cursoDisciplina!$A$4:$A$112,0),MATCH(cursoDisciplina!$C$4,cursoDisciplina!$A$4:$F$4,0))</f>
        <v>ADS</v>
      </c>
      <c r="D340" t="str">
        <f>INDEX(cursoDisciplina!$A$4:$F$112,MATCH(disciplinaGrade!B340,cursoDisciplina!$A$4:$A$112,0),MATCH(cursoDisciplina!$E$4,cursoDisciplina!$A$4:$F$4,0))</f>
        <v>Disciplina 13</v>
      </c>
      <c r="E340" t="s">
        <v>11</v>
      </c>
      <c r="F340" t="s">
        <v>10</v>
      </c>
      <c r="G340" s="25" t="s">
        <v>43</v>
      </c>
      <c r="H340" s="25" t="s">
        <v>43</v>
      </c>
      <c r="I340" s="25" t="s">
        <v>43</v>
      </c>
      <c r="J340" s="25" t="s">
        <v>43</v>
      </c>
      <c r="K340" s="25" t="s">
        <v>43</v>
      </c>
      <c r="L340" s="25" t="s">
        <v>43</v>
      </c>
    </row>
    <row r="341" spans="1:12" x14ac:dyDescent="0.25">
      <c r="A341" s="25">
        <v>338</v>
      </c>
      <c r="B341" s="25">
        <v>14</v>
      </c>
      <c r="C341" s="25" t="str">
        <f>INDEX(cursoDisciplina!$A$4:$F$112,MATCH(disciplinaGrade!B341,cursoDisciplina!$A$4:$A$112,0),MATCH(cursoDisciplina!$C$4,cursoDisciplina!$A$4:$F$4,0))</f>
        <v>ADS</v>
      </c>
      <c r="D341" t="str">
        <f>INDEX(cursoDisciplina!$A$4:$F$112,MATCH(disciplinaGrade!B341,cursoDisciplina!$A$4:$A$112,0),MATCH(cursoDisciplina!$E$4,cursoDisciplina!$A$4:$F$4,0))</f>
        <v>Disciplina 14</v>
      </c>
      <c r="E341" t="s">
        <v>11</v>
      </c>
      <c r="F341" t="s">
        <v>10</v>
      </c>
      <c r="G341" s="25" t="s">
        <v>43</v>
      </c>
      <c r="H341" s="25" t="s">
        <v>43</v>
      </c>
      <c r="I341" s="25" t="s">
        <v>43</v>
      </c>
      <c r="J341" s="25" t="s">
        <v>43</v>
      </c>
      <c r="K341" s="25" t="s">
        <v>43</v>
      </c>
      <c r="L341" s="25" t="s">
        <v>43</v>
      </c>
    </row>
    <row r="342" spans="1:12" x14ac:dyDescent="0.25">
      <c r="A342" s="25">
        <v>339</v>
      </c>
      <c r="B342" s="25">
        <v>15</v>
      </c>
      <c r="C342" s="25" t="str">
        <f>INDEX(cursoDisciplina!$A$4:$F$112,MATCH(disciplinaGrade!B342,cursoDisciplina!$A$4:$A$112,0),MATCH(cursoDisciplina!$C$4,cursoDisciplina!$A$4:$F$4,0))</f>
        <v>ADS</v>
      </c>
      <c r="D342" t="str">
        <f>INDEX(cursoDisciplina!$A$4:$F$112,MATCH(disciplinaGrade!B342,cursoDisciplina!$A$4:$A$112,0),MATCH(cursoDisciplina!$E$4,cursoDisciplina!$A$4:$F$4,0))</f>
        <v>Disciplina 15</v>
      </c>
      <c r="E342" t="s">
        <v>11</v>
      </c>
      <c r="F342" t="s">
        <v>10</v>
      </c>
      <c r="G342" s="25" t="s">
        <v>43</v>
      </c>
      <c r="H342" s="25" t="s">
        <v>43</v>
      </c>
      <c r="I342" s="25" t="s">
        <v>43</v>
      </c>
      <c r="J342" s="25" t="s">
        <v>43</v>
      </c>
      <c r="K342" s="25" t="s">
        <v>43</v>
      </c>
      <c r="L342" s="25" t="s">
        <v>43</v>
      </c>
    </row>
    <row r="343" spans="1:12" x14ac:dyDescent="0.25">
      <c r="A343" s="25">
        <v>340</v>
      </c>
      <c r="B343" s="25">
        <v>16</v>
      </c>
      <c r="C343" s="25" t="str">
        <f>INDEX(cursoDisciplina!$A$4:$F$112,MATCH(disciplinaGrade!B343,cursoDisciplina!$A$4:$A$112,0),MATCH(cursoDisciplina!$C$4,cursoDisciplina!$A$4:$F$4,0))</f>
        <v>BigData</v>
      </c>
      <c r="D343" t="str">
        <f>INDEX(cursoDisciplina!$A$4:$F$112,MATCH(disciplinaGrade!B343,cursoDisciplina!$A$4:$A$112,0),MATCH(cursoDisciplina!$E$4,cursoDisciplina!$A$4:$F$4,0))</f>
        <v>laboratóeio de engenharia de Software</v>
      </c>
      <c r="E343" t="s">
        <v>11</v>
      </c>
      <c r="F343" t="s">
        <v>10</v>
      </c>
      <c r="G343" s="25" t="s">
        <v>43</v>
      </c>
      <c r="H343" s="25" t="s">
        <v>43</v>
      </c>
      <c r="I343" s="25" t="s">
        <v>43</v>
      </c>
      <c r="J343" s="25" t="s">
        <v>43</v>
      </c>
      <c r="K343" s="25" t="s">
        <v>43</v>
      </c>
      <c r="L343" s="25" t="s">
        <v>43</v>
      </c>
    </row>
    <row r="344" spans="1:12" x14ac:dyDescent="0.25">
      <c r="A344" s="25">
        <v>341</v>
      </c>
      <c r="B344" s="25">
        <v>17</v>
      </c>
      <c r="C344" s="25" t="str">
        <f>INDEX(cursoDisciplina!$A$4:$F$112,MATCH(disciplinaGrade!B344,cursoDisciplina!$A$4:$A$112,0),MATCH(cursoDisciplina!$C$4,cursoDisciplina!$A$4:$F$4,0))</f>
        <v>BigData</v>
      </c>
      <c r="D344" t="str">
        <f>INDEX(cursoDisciplina!$A$4:$F$112,MATCH(disciplinaGrade!B344,cursoDisciplina!$A$4:$A$112,0),MATCH(cursoDisciplina!$E$4,cursoDisciplina!$A$4:$F$4,0))</f>
        <v>Estrutura de Dados</v>
      </c>
      <c r="E344" t="s">
        <v>11</v>
      </c>
      <c r="F344" t="s">
        <v>10</v>
      </c>
      <c r="G344" s="25" t="s">
        <v>43</v>
      </c>
      <c r="H344" s="25" t="s">
        <v>43</v>
      </c>
      <c r="I344" s="25" t="s">
        <v>43</v>
      </c>
      <c r="J344" s="25" t="s">
        <v>43</v>
      </c>
      <c r="K344" s="25" t="s">
        <v>43</v>
      </c>
      <c r="L344" s="25" t="s">
        <v>43</v>
      </c>
    </row>
    <row r="345" spans="1:12" x14ac:dyDescent="0.25">
      <c r="A345" s="25">
        <v>342</v>
      </c>
      <c r="B345" s="25">
        <v>18</v>
      </c>
      <c r="C345" s="25" t="str">
        <f>INDEX(cursoDisciplina!$A$4:$F$112,MATCH(disciplinaGrade!B345,cursoDisciplina!$A$4:$A$112,0),MATCH(cursoDisciplina!$C$4,cursoDisciplina!$A$4:$F$4,0))</f>
        <v>BigData</v>
      </c>
      <c r="D345" t="str">
        <f>INDEX(cursoDisciplina!$A$4:$F$112,MATCH(disciplinaGrade!B345,cursoDisciplina!$A$4:$A$112,0),MATCH(cursoDisciplina!$E$4,cursoDisciplina!$A$4:$F$4,0))</f>
        <v>PEM</v>
      </c>
      <c r="E345" t="s">
        <v>11</v>
      </c>
      <c r="F345" t="s">
        <v>10</v>
      </c>
      <c r="G345" s="25" t="s">
        <v>43</v>
      </c>
      <c r="H345" s="25" t="s">
        <v>43</v>
      </c>
      <c r="I345" s="25" t="s">
        <v>43</v>
      </c>
      <c r="J345" s="25" t="s">
        <v>43</v>
      </c>
      <c r="K345" s="25" t="s">
        <v>43</v>
      </c>
      <c r="L345" s="25" t="s">
        <v>43</v>
      </c>
    </row>
    <row r="346" spans="1:12" x14ac:dyDescent="0.25">
      <c r="A346" s="25">
        <v>343</v>
      </c>
      <c r="B346" s="25">
        <v>19</v>
      </c>
      <c r="C346" s="25" t="str">
        <f>INDEX(cursoDisciplina!$A$4:$F$112,MATCH(disciplinaGrade!B346,cursoDisciplina!$A$4:$A$112,0),MATCH(cursoDisciplina!$C$4,cursoDisciplina!$A$4:$F$4,0))</f>
        <v>BigData</v>
      </c>
      <c r="D346" t="str">
        <f>INDEX(cursoDisciplina!$A$4:$F$112,MATCH(disciplinaGrade!B346,cursoDisciplina!$A$4:$A$112,0),MATCH(cursoDisciplina!$E$4,cursoDisciplina!$A$4:$F$4,0))</f>
        <v>Disciplina 4</v>
      </c>
      <c r="E346" t="s">
        <v>11</v>
      </c>
      <c r="F346" t="s">
        <v>10</v>
      </c>
      <c r="G346" s="25" t="s">
        <v>43</v>
      </c>
      <c r="H346" s="25" t="s">
        <v>43</v>
      </c>
      <c r="I346" s="25" t="s">
        <v>43</v>
      </c>
      <c r="J346" s="25" t="s">
        <v>43</v>
      </c>
      <c r="K346" s="25" t="s">
        <v>43</v>
      </c>
      <c r="L346" s="25" t="s">
        <v>43</v>
      </c>
    </row>
    <row r="347" spans="1:12" x14ac:dyDescent="0.25">
      <c r="A347" s="25">
        <v>344</v>
      </c>
      <c r="B347" s="25">
        <v>20</v>
      </c>
      <c r="C347" s="25" t="str">
        <f>INDEX(cursoDisciplina!$A$4:$F$112,MATCH(disciplinaGrade!B347,cursoDisciplina!$A$4:$A$112,0),MATCH(cursoDisciplina!$C$4,cursoDisciplina!$A$4:$F$4,0))</f>
        <v>BigData</v>
      </c>
      <c r="D347" t="str">
        <f>INDEX(cursoDisciplina!$A$4:$F$112,MATCH(disciplinaGrade!B347,cursoDisciplina!$A$4:$A$112,0),MATCH(cursoDisciplina!$E$4,cursoDisciplina!$A$4:$F$4,0))</f>
        <v>Disciplina 5</v>
      </c>
      <c r="E347" t="s">
        <v>11</v>
      </c>
      <c r="F347" t="s">
        <v>10</v>
      </c>
      <c r="G347" s="25" t="s">
        <v>43</v>
      </c>
      <c r="H347" s="25" t="s">
        <v>43</v>
      </c>
      <c r="I347" s="25" t="s">
        <v>43</v>
      </c>
      <c r="J347" s="25" t="s">
        <v>43</v>
      </c>
      <c r="K347" s="25" t="s">
        <v>43</v>
      </c>
      <c r="L347" s="25" t="s">
        <v>43</v>
      </c>
    </row>
    <row r="348" spans="1:12" x14ac:dyDescent="0.25">
      <c r="A348" s="25">
        <v>345</v>
      </c>
      <c r="B348" s="25">
        <v>21</v>
      </c>
      <c r="C348" s="25" t="str">
        <f>INDEX(cursoDisciplina!$A$4:$F$112,MATCH(disciplinaGrade!B348,cursoDisciplina!$A$4:$A$112,0),MATCH(cursoDisciplina!$C$4,cursoDisciplina!$A$4:$F$4,0))</f>
        <v>BigData</v>
      </c>
      <c r="D348" t="str">
        <f>INDEX(cursoDisciplina!$A$4:$F$112,MATCH(disciplinaGrade!B348,cursoDisciplina!$A$4:$A$112,0),MATCH(cursoDisciplina!$E$4,cursoDisciplina!$A$4:$F$4,0))</f>
        <v>Disciplina 6</v>
      </c>
      <c r="E348" t="s">
        <v>11</v>
      </c>
      <c r="F348" t="s">
        <v>10</v>
      </c>
      <c r="G348" s="25" t="s">
        <v>43</v>
      </c>
      <c r="H348" s="25" t="s">
        <v>43</v>
      </c>
      <c r="I348" s="25" t="s">
        <v>43</v>
      </c>
      <c r="J348" s="25" t="s">
        <v>43</v>
      </c>
      <c r="K348" s="25" t="s">
        <v>43</v>
      </c>
      <c r="L348" s="25" t="s">
        <v>43</v>
      </c>
    </row>
    <row r="349" spans="1:12" x14ac:dyDescent="0.25">
      <c r="A349" s="25">
        <v>346</v>
      </c>
      <c r="B349" s="25">
        <v>22</v>
      </c>
      <c r="C349" s="25" t="str">
        <f>INDEX(cursoDisciplina!$A$4:$F$112,MATCH(disciplinaGrade!B349,cursoDisciplina!$A$4:$A$112,0),MATCH(cursoDisciplina!$C$4,cursoDisciplina!$A$4:$F$4,0))</f>
        <v>BigData</v>
      </c>
      <c r="D349" t="str">
        <f>INDEX(cursoDisciplina!$A$4:$F$112,MATCH(disciplinaGrade!B349,cursoDisciplina!$A$4:$A$112,0),MATCH(cursoDisciplina!$E$4,cursoDisciplina!$A$4:$F$4,0))</f>
        <v>Disciplina 7</v>
      </c>
      <c r="E349" t="s">
        <v>11</v>
      </c>
      <c r="F349" t="s">
        <v>10</v>
      </c>
      <c r="G349" s="25" t="s">
        <v>43</v>
      </c>
      <c r="H349" s="25" t="s">
        <v>43</v>
      </c>
      <c r="I349" s="25" t="s">
        <v>43</v>
      </c>
      <c r="J349" s="25" t="s">
        <v>43</v>
      </c>
      <c r="K349" s="25" t="s">
        <v>43</v>
      </c>
      <c r="L349" s="25" t="s">
        <v>43</v>
      </c>
    </row>
    <row r="350" spans="1:12" x14ac:dyDescent="0.25">
      <c r="A350" s="25">
        <v>347</v>
      </c>
      <c r="B350" s="25">
        <v>23</v>
      </c>
      <c r="C350" s="25" t="str">
        <f>INDEX(cursoDisciplina!$A$4:$F$112,MATCH(disciplinaGrade!B350,cursoDisciplina!$A$4:$A$112,0),MATCH(cursoDisciplina!$C$4,cursoDisciplina!$A$4:$F$4,0))</f>
        <v>BigData</v>
      </c>
      <c r="D350" t="str">
        <f>INDEX(cursoDisciplina!$A$4:$F$112,MATCH(disciplinaGrade!B350,cursoDisciplina!$A$4:$A$112,0),MATCH(cursoDisciplina!$E$4,cursoDisciplina!$A$4:$F$4,0))</f>
        <v>Disciplina 8</v>
      </c>
      <c r="E350" t="s">
        <v>11</v>
      </c>
      <c r="F350" t="s">
        <v>10</v>
      </c>
      <c r="G350" s="25" t="s">
        <v>43</v>
      </c>
      <c r="H350" s="25" t="s">
        <v>43</v>
      </c>
      <c r="I350" s="25" t="s">
        <v>43</v>
      </c>
      <c r="J350" s="25" t="s">
        <v>43</v>
      </c>
      <c r="K350" s="25" t="s">
        <v>43</v>
      </c>
      <c r="L350" s="25" t="s">
        <v>43</v>
      </c>
    </row>
    <row r="351" spans="1:12" x14ac:dyDescent="0.25">
      <c r="A351" s="25">
        <v>348</v>
      </c>
      <c r="B351" s="25">
        <v>24</v>
      </c>
      <c r="C351" s="25" t="str">
        <f>INDEX(cursoDisciplina!$A$4:$F$112,MATCH(disciplinaGrade!B351,cursoDisciplina!$A$4:$A$112,0),MATCH(cursoDisciplina!$C$4,cursoDisciplina!$A$4:$F$4,0))</f>
        <v>BigData</v>
      </c>
      <c r="D351" t="str">
        <f>INDEX(cursoDisciplina!$A$4:$F$112,MATCH(disciplinaGrade!B351,cursoDisciplina!$A$4:$A$112,0),MATCH(cursoDisciplina!$E$4,cursoDisciplina!$A$4:$F$4,0))</f>
        <v>Disciplina 9</v>
      </c>
      <c r="E351" t="s">
        <v>11</v>
      </c>
      <c r="F351" t="s">
        <v>10</v>
      </c>
      <c r="G351" s="25" t="s">
        <v>43</v>
      </c>
      <c r="H351" s="25" t="s">
        <v>43</v>
      </c>
      <c r="I351" s="25" t="s">
        <v>43</v>
      </c>
      <c r="J351" s="25" t="s">
        <v>43</v>
      </c>
      <c r="K351" s="25" t="s">
        <v>43</v>
      </c>
      <c r="L351" s="25" t="s">
        <v>43</v>
      </c>
    </row>
    <row r="352" spans="1:12" x14ac:dyDescent="0.25">
      <c r="A352" s="25">
        <v>349</v>
      </c>
      <c r="B352" s="25">
        <v>25</v>
      </c>
      <c r="C352" s="25" t="str">
        <f>INDEX(cursoDisciplina!$A$4:$F$112,MATCH(disciplinaGrade!B352,cursoDisciplina!$A$4:$A$112,0),MATCH(cursoDisciplina!$C$4,cursoDisciplina!$A$4:$F$4,0))</f>
        <v>BigData</v>
      </c>
      <c r="D352" t="str">
        <f>INDEX(cursoDisciplina!$A$4:$F$112,MATCH(disciplinaGrade!B352,cursoDisciplina!$A$4:$A$112,0),MATCH(cursoDisciplina!$E$4,cursoDisciplina!$A$4:$F$4,0))</f>
        <v>Disciplina 10</v>
      </c>
      <c r="E352" t="s">
        <v>11</v>
      </c>
      <c r="F352" t="s">
        <v>10</v>
      </c>
      <c r="G352" s="25" t="s">
        <v>43</v>
      </c>
      <c r="H352" s="25" t="s">
        <v>43</v>
      </c>
      <c r="I352" s="25" t="s">
        <v>43</v>
      </c>
      <c r="J352" s="25" t="s">
        <v>43</v>
      </c>
      <c r="K352" s="25" t="s">
        <v>43</v>
      </c>
      <c r="L352" s="25" t="s">
        <v>43</v>
      </c>
    </row>
    <row r="353" spans="1:12" x14ac:dyDescent="0.25">
      <c r="A353" s="25">
        <v>350</v>
      </c>
      <c r="B353" s="25">
        <v>26</v>
      </c>
      <c r="C353" s="25" t="str">
        <f>INDEX(cursoDisciplina!$A$4:$F$112,MATCH(disciplinaGrade!B353,cursoDisciplina!$A$4:$A$112,0),MATCH(cursoDisciplina!$C$4,cursoDisciplina!$A$4:$F$4,0))</f>
        <v>BigData</v>
      </c>
      <c r="D353" t="str">
        <f>INDEX(cursoDisciplina!$A$4:$F$112,MATCH(disciplinaGrade!B353,cursoDisciplina!$A$4:$A$112,0),MATCH(cursoDisciplina!$E$4,cursoDisciplina!$A$4:$F$4,0))</f>
        <v>Disciplina 11</v>
      </c>
      <c r="E353" t="s">
        <v>11</v>
      </c>
      <c r="F353" t="s">
        <v>10</v>
      </c>
      <c r="G353" s="25" t="s">
        <v>43</v>
      </c>
      <c r="H353" s="25" t="s">
        <v>43</v>
      </c>
      <c r="I353" s="25" t="s">
        <v>43</v>
      </c>
      <c r="J353" s="25" t="s">
        <v>43</v>
      </c>
      <c r="K353" s="25" t="s">
        <v>43</v>
      </c>
      <c r="L353" s="25" t="s">
        <v>43</v>
      </c>
    </row>
    <row r="354" spans="1:12" x14ac:dyDescent="0.25">
      <c r="A354" s="25">
        <v>351</v>
      </c>
      <c r="B354" s="25">
        <v>27</v>
      </c>
      <c r="C354" s="25" t="str">
        <f>INDEX(cursoDisciplina!$A$4:$F$112,MATCH(disciplinaGrade!B354,cursoDisciplina!$A$4:$A$112,0),MATCH(cursoDisciplina!$C$4,cursoDisciplina!$A$4:$F$4,0))</f>
        <v>BigData</v>
      </c>
      <c r="D354" t="str">
        <f>INDEX(cursoDisciplina!$A$4:$F$112,MATCH(disciplinaGrade!B354,cursoDisciplina!$A$4:$A$112,0),MATCH(cursoDisciplina!$E$4,cursoDisciplina!$A$4:$F$4,0))</f>
        <v>Disciplina 12</v>
      </c>
      <c r="E354" t="s">
        <v>11</v>
      </c>
      <c r="F354" t="s">
        <v>10</v>
      </c>
      <c r="G354" s="25" t="s">
        <v>43</v>
      </c>
      <c r="H354" s="25" t="s">
        <v>43</v>
      </c>
      <c r="I354" s="25" t="s">
        <v>43</v>
      </c>
      <c r="J354" s="25" t="s">
        <v>43</v>
      </c>
      <c r="K354" s="25" t="s">
        <v>43</v>
      </c>
      <c r="L354" s="25" t="s">
        <v>43</v>
      </c>
    </row>
    <row r="355" spans="1:12" x14ac:dyDescent="0.25">
      <c r="A355" s="25">
        <v>352</v>
      </c>
      <c r="B355" s="25">
        <v>28</v>
      </c>
      <c r="C355" s="25" t="str">
        <f>INDEX(cursoDisciplina!$A$4:$F$112,MATCH(disciplinaGrade!B355,cursoDisciplina!$A$4:$A$112,0),MATCH(cursoDisciplina!$C$4,cursoDisciplina!$A$4:$F$4,0))</f>
        <v>BigData</v>
      </c>
      <c r="D355" t="str">
        <f>INDEX(cursoDisciplina!$A$4:$F$112,MATCH(disciplinaGrade!B355,cursoDisciplina!$A$4:$A$112,0),MATCH(cursoDisciplina!$E$4,cursoDisciplina!$A$4:$F$4,0))</f>
        <v>Disciplina 13</v>
      </c>
      <c r="E355" t="s">
        <v>11</v>
      </c>
      <c r="F355" t="s">
        <v>10</v>
      </c>
      <c r="G355" s="25" t="s">
        <v>43</v>
      </c>
      <c r="H355" s="25" t="s">
        <v>43</v>
      </c>
      <c r="I355" s="25" t="s">
        <v>43</v>
      </c>
      <c r="J355" s="25" t="s">
        <v>43</v>
      </c>
      <c r="K355" s="25" t="s">
        <v>43</v>
      </c>
      <c r="L355" s="25" t="s">
        <v>43</v>
      </c>
    </row>
    <row r="356" spans="1:12" x14ac:dyDescent="0.25">
      <c r="A356" s="25">
        <v>353</v>
      </c>
      <c r="B356" s="25">
        <v>29</v>
      </c>
      <c r="C356" s="25" t="str">
        <f>INDEX(cursoDisciplina!$A$4:$F$112,MATCH(disciplinaGrade!B356,cursoDisciplina!$A$4:$A$112,0),MATCH(cursoDisciplina!$C$4,cursoDisciplina!$A$4:$F$4,0))</f>
        <v>BigData</v>
      </c>
      <c r="D356" t="str">
        <f>INDEX(cursoDisciplina!$A$4:$F$112,MATCH(disciplinaGrade!B356,cursoDisciplina!$A$4:$A$112,0),MATCH(cursoDisciplina!$E$4,cursoDisciplina!$A$4:$F$4,0))</f>
        <v>Disciplina 14</v>
      </c>
      <c r="E356" t="s">
        <v>11</v>
      </c>
      <c r="F356" t="s">
        <v>10</v>
      </c>
      <c r="G356" s="25" t="s">
        <v>43</v>
      </c>
      <c r="H356" s="25" t="s">
        <v>43</v>
      </c>
      <c r="I356" s="25" t="s">
        <v>43</v>
      </c>
      <c r="J356" s="25" t="s">
        <v>43</v>
      </c>
      <c r="K356" s="25" t="s">
        <v>43</v>
      </c>
      <c r="L356" s="25" t="s">
        <v>43</v>
      </c>
    </row>
    <row r="357" spans="1:12" x14ac:dyDescent="0.25">
      <c r="A357" s="25">
        <v>354</v>
      </c>
      <c r="B357" s="25">
        <v>30</v>
      </c>
      <c r="C357" s="25" t="str">
        <f>INDEX(cursoDisciplina!$A$4:$F$112,MATCH(disciplinaGrade!B357,cursoDisciplina!$A$4:$A$112,0),MATCH(cursoDisciplina!$C$4,cursoDisciplina!$A$4:$F$4,0))</f>
        <v>curso 3</v>
      </c>
      <c r="D357" t="str">
        <f>INDEX(cursoDisciplina!$A$4:$F$112,MATCH(disciplinaGrade!B357,cursoDisciplina!$A$4:$A$112,0),MATCH(cursoDisciplina!$E$4,cursoDisciplina!$A$4:$F$4,0))</f>
        <v>laboratóeio de engenharia de Software</v>
      </c>
      <c r="E357" t="s">
        <v>11</v>
      </c>
      <c r="F357" t="s">
        <v>10</v>
      </c>
      <c r="G357" s="25" t="s">
        <v>43</v>
      </c>
      <c r="H357" s="25" t="s">
        <v>43</v>
      </c>
      <c r="I357" s="25" t="s">
        <v>43</v>
      </c>
      <c r="J357" s="25" t="s">
        <v>43</v>
      </c>
      <c r="K357" s="25" t="s">
        <v>43</v>
      </c>
      <c r="L357" s="25" t="s">
        <v>43</v>
      </c>
    </row>
    <row r="358" spans="1:12" x14ac:dyDescent="0.25">
      <c r="A358" s="25">
        <v>355</v>
      </c>
      <c r="B358" s="25">
        <v>31</v>
      </c>
      <c r="C358" s="25" t="str">
        <f>INDEX(cursoDisciplina!$A$4:$F$112,MATCH(disciplinaGrade!B358,cursoDisciplina!$A$4:$A$112,0),MATCH(cursoDisciplina!$C$4,cursoDisciplina!$A$4:$F$4,0))</f>
        <v>curso 3</v>
      </c>
      <c r="D358" t="str">
        <f>INDEX(cursoDisciplina!$A$4:$F$112,MATCH(disciplinaGrade!B358,cursoDisciplina!$A$4:$A$112,0),MATCH(cursoDisciplina!$E$4,cursoDisciplina!$A$4:$F$4,0))</f>
        <v>Estrutura de Dados</v>
      </c>
      <c r="E358" t="s">
        <v>11</v>
      </c>
      <c r="F358" t="s">
        <v>10</v>
      </c>
      <c r="G358" s="25" t="s">
        <v>43</v>
      </c>
      <c r="H358" s="25" t="s">
        <v>43</v>
      </c>
      <c r="I358" s="25" t="s">
        <v>43</v>
      </c>
      <c r="J358" s="25" t="s">
        <v>43</v>
      </c>
      <c r="K358" s="25" t="s">
        <v>43</v>
      </c>
      <c r="L358" s="25" t="s">
        <v>43</v>
      </c>
    </row>
    <row r="359" spans="1:12" x14ac:dyDescent="0.25">
      <c r="A359" s="25">
        <v>356</v>
      </c>
      <c r="B359" s="25">
        <v>32</v>
      </c>
      <c r="C359" s="25" t="str">
        <f>INDEX(cursoDisciplina!$A$4:$F$112,MATCH(disciplinaGrade!B359,cursoDisciplina!$A$4:$A$112,0),MATCH(cursoDisciplina!$C$4,cursoDisciplina!$A$4:$F$4,0))</f>
        <v>curso 3</v>
      </c>
      <c r="D359" t="str">
        <f>INDEX(cursoDisciplina!$A$4:$F$112,MATCH(disciplinaGrade!B359,cursoDisciplina!$A$4:$A$112,0),MATCH(cursoDisciplina!$E$4,cursoDisciplina!$A$4:$F$4,0))</f>
        <v>PEM</v>
      </c>
      <c r="E359" t="s">
        <v>11</v>
      </c>
      <c r="F359" t="s">
        <v>10</v>
      </c>
      <c r="G359" s="25" t="s">
        <v>43</v>
      </c>
      <c r="H359" s="25" t="s">
        <v>43</v>
      </c>
      <c r="I359" s="25" t="s">
        <v>43</v>
      </c>
      <c r="J359" s="25" t="s">
        <v>43</v>
      </c>
      <c r="K359" s="25" t="s">
        <v>43</v>
      </c>
      <c r="L359" s="25" t="s">
        <v>43</v>
      </c>
    </row>
    <row r="360" spans="1:12" x14ac:dyDescent="0.25">
      <c r="A360" s="25">
        <v>357</v>
      </c>
      <c r="B360" s="25">
        <v>33</v>
      </c>
      <c r="C360" s="25" t="str">
        <f>INDEX(cursoDisciplina!$A$4:$F$112,MATCH(disciplinaGrade!B360,cursoDisciplina!$A$4:$A$112,0),MATCH(cursoDisciplina!$C$4,cursoDisciplina!$A$4:$F$4,0))</f>
        <v>curso 3</v>
      </c>
      <c r="D360" t="str">
        <f>INDEX(cursoDisciplina!$A$4:$F$112,MATCH(disciplinaGrade!B360,cursoDisciplina!$A$4:$A$112,0),MATCH(cursoDisciplina!$E$4,cursoDisciplina!$A$4:$F$4,0))</f>
        <v>Disciplina 4</v>
      </c>
      <c r="E360" t="s">
        <v>11</v>
      </c>
      <c r="F360" t="s">
        <v>10</v>
      </c>
      <c r="G360" s="25" t="s">
        <v>43</v>
      </c>
      <c r="H360" s="25" t="s">
        <v>43</v>
      </c>
      <c r="I360" s="25" t="s">
        <v>43</v>
      </c>
      <c r="J360" s="25" t="s">
        <v>43</v>
      </c>
      <c r="K360" s="25" t="s">
        <v>43</v>
      </c>
      <c r="L360" s="25" t="s">
        <v>43</v>
      </c>
    </row>
    <row r="361" spans="1:12" x14ac:dyDescent="0.25">
      <c r="A361" s="25">
        <v>358</v>
      </c>
      <c r="B361" s="25">
        <v>34</v>
      </c>
      <c r="C361" s="25" t="str">
        <f>INDEX(cursoDisciplina!$A$4:$F$112,MATCH(disciplinaGrade!B361,cursoDisciplina!$A$4:$A$112,0),MATCH(cursoDisciplina!$C$4,cursoDisciplina!$A$4:$F$4,0))</f>
        <v>curso 3</v>
      </c>
      <c r="D361" t="str">
        <f>INDEX(cursoDisciplina!$A$4:$F$112,MATCH(disciplinaGrade!B361,cursoDisciplina!$A$4:$A$112,0),MATCH(cursoDisciplina!$E$4,cursoDisciplina!$A$4:$F$4,0))</f>
        <v>Disciplina 5</v>
      </c>
      <c r="E361" t="s">
        <v>11</v>
      </c>
      <c r="F361" t="s">
        <v>10</v>
      </c>
      <c r="G361" s="25" t="s">
        <v>43</v>
      </c>
      <c r="H361" s="25" t="s">
        <v>43</v>
      </c>
      <c r="I361" s="25" t="s">
        <v>43</v>
      </c>
      <c r="J361" s="25" t="s">
        <v>43</v>
      </c>
      <c r="K361" s="25" t="s">
        <v>43</v>
      </c>
      <c r="L361" s="25" t="s">
        <v>43</v>
      </c>
    </row>
    <row r="362" spans="1:12" x14ac:dyDescent="0.25">
      <c r="A362" s="25">
        <v>359</v>
      </c>
      <c r="B362" s="25">
        <v>35</v>
      </c>
      <c r="C362" s="25" t="str">
        <f>INDEX(cursoDisciplina!$A$4:$F$112,MATCH(disciplinaGrade!B362,cursoDisciplina!$A$4:$A$112,0),MATCH(cursoDisciplina!$C$4,cursoDisciplina!$A$4:$F$4,0))</f>
        <v>curso 3</v>
      </c>
      <c r="D362" t="str">
        <f>INDEX(cursoDisciplina!$A$4:$F$112,MATCH(disciplinaGrade!B362,cursoDisciplina!$A$4:$A$112,0),MATCH(cursoDisciplina!$E$4,cursoDisciplina!$A$4:$F$4,0))</f>
        <v>Disciplina 6</v>
      </c>
      <c r="E362" t="s">
        <v>11</v>
      </c>
      <c r="F362" t="s">
        <v>10</v>
      </c>
      <c r="G362" s="25" t="s">
        <v>43</v>
      </c>
      <c r="H362" s="25" t="s">
        <v>43</v>
      </c>
      <c r="I362" s="25" t="s">
        <v>43</v>
      </c>
      <c r="J362" s="25" t="s">
        <v>43</v>
      </c>
      <c r="K362" s="25" t="s">
        <v>43</v>
      </c>
      <c r="L362" s="25" t="s">
        <v>43</v>
      </c>
    </row>
    <row r="363" spans="1:12" x14ac:dyDescent="0.25">
      <c r="A363" s="25">
        <v>360</v>
      </c>
      <c r="B363" s="25">
        <v>36</v>
      </c>
      <c r="C363" s="25" t="str">
        <f>INDEX(cursoDisciplina!$A$4:$F$112,MATCH(disciplinaGrade!B363,cursoDisciplina!$A$4:$A$112,0),MATCH(cursoDisciplina!$C$4,cursoDisciplina!$A$4:$F$4,0))</f>
        <v>curso 3</v>
      </c>
      <c r="D363" t="str">
        <f>INDEX(cursoDisciplina!$A$4:$F$112,MATCH(disciplinaGrade!B363,cursoDisciplina!$A$4:$A$112,0),MATCH(cursoDisciplina!$E$4,cursoDisciplina!$A$4:$F$4,0))</f>
        <v>Disciplina 7</v>
      </c>
      <c r="E363" t="s">
        <v>11</v>
      </c>
      <c r="F363" t="s">
        <v>10</v>
      </c>
      <c r="G363" s="25" t="s">
        <v>43</v>
      </c>
      <c r="H363" s="25" t="s">
        <v>43</v>
      </c>
      <c r="I363" s="25" t="s">
        <v>43</v>
      </c>
      <c r="J363" s="25" t="s">
        <v>43</v>
      </c>
      <c r="K363" s="25" t="s">
        <v>43</v>
      </c>
      <c r="L363" s="25" t="s">
        <v>43</v>
      </c>
    </row>
    <row r="364" spans="1:12" x14ac:dyDescent="0.25">
      <c r="A364" s="25">
        <v>361</v>
      </c>
      <c r="B364" s="25">
        <v>37</v>
      </c>
      <c r="C364" s="25" t="str">
        <f>INDEX(cursoDisciplina!$A$4:$F$112,MATCH(disciplinaGrade!B364,cursoDisciplina!$A$4:$A$112,0),MATCH(cursoDisciplina!$C$4,cursoDisciplina!$A$4:$F$4,0))</f>
        <v>curso 3</v>
      </c>
      <c r="D364" t="str">
        <f>INDEX(cursoDisciplina!$A$4:$F$112,MATCH(disciplinaGrade!B364,cursoDisciplina!$A$4:$A$112,0),MATCH(cursoDisciplina!$E$4,cursoDisciplina!$A$4:$F$4,0))</f>
        <v>Disciplina 8</v>
      </c>
      <c r="E364" t="s">
        <v>11</v>
      </c>
      <c r="F364" t="s">
        <v>10</v>
      </c>
      <c r="G364" s="25" t="s">
        <v>43</v>
      </c>
      <c r="H364" s="25" t="s">
        <v>43</v>
      </c>
      <c r="I364" s="25" t="s">
        <v>43</v>
      </c>
      <c r="J364" s="25" t="s">
        <v>43</v>
      </c>
      <c r="K364" s="25" t="s">
        <v>43</v>
      </c>
      <c r="L364" s="25" t="s">
        <v>43</v>
      </c>
    </row>
    <row r="365" spans="1:12" x14ac:dyDescent="0.25">
      <c r="A365" s="25">
        <v>362</v>
      </c>
      <c r="B365" s="25">
        <v>38</v>
      </c>
      <c r="C365" s="25" t="str">
        <f>INDEX(cursoDisciplina!$A$4:$F$112,MATCH(disciplinaGrade!B365,cursoDisciplina!$A$4:$A$112,0),MATCH(cursoDisciplina!$C$4,cursoDisciplina!$A$4:$F$4,0))</f>
        <v>curso 3</v>
      </c>
      <c r="D365" t="str">
        <f>INDEX(cursoDisciplina!$A$4:$F$112,MATCH(disciplinaGrade!B365,cursoDisciplina!$A$4:$A$112,0),MATCH(cursoDisciplina!$E$4,cursoDisciplina!$A$4:$F$4,0))</f>
        <v>Disciplina 9</v>
      </c>
      <c r="E365" t="s">
        <v>11</v>
      </c>
      <c r="F365" t="s">
        <v>10</v>
      </c>
      <c r="G365" s="25" t="s">
        <v>43</v>
      </c>
      <c r="H365" s="25" t="s">
        <v>43</v>
      </c>
      <c r="I365" s="25" t="s">
        <v>43</v>
      </c>
      <c r="J365" s="25" t="s">
        <v>43</v>
      </c>
      <c r="K365" s="25" t="s">
        <v>43</v>
      </c>
      <c r="L365" s="25" t="s">
        <v>43</v>
      </c>
    </row>
    <row r="366" spans="1:12" x14ac:dyDescent="0.25">
      <c r="A366" s="25">
        <v>363</v>
      </c>
      <c r="B366" s="25">
        <v>39</v>
      </c>
      <c r="C366" s="25" t="str">
        <f>INDEX(cursoDisciplina!$A$4:$F$112,MATCH(disciplinaGrade!B366,cursoDisciplina!$A$4:$A$112,0),MATCH(cursoDisciplina!$C$4,cursoDisciplina!$A$4:$F$4,0))</f>
        <v>curso 3</v>
      </c>
      <c r="D366" t="str">
        <f>INDEX(cursoDisciplina!$A$4:$F$112,MATCH(disciplinaGrade!B366,cursoDisciplina!$A$4:$A$112,0),MATCH(cursoDisciplina!$E$4,cursoDisciplina!$A$4:$F$4,0))</f>
        <v>Disciplina 10</v>
      </c>
      <c r="E366" t="s">
        <v>11</v>
      </c>
      <c r="F366" t="s">
        <v>10</v>
      </c>
      <c r="G366" s="25" t="s">
        <v>43</v>
      </c>
      <c r="H366" s="25" t="s">
        <v>43</v>
      </c>
      <c r="I366" s="25" t="s">
        <v>43</v>
      </c>
      <c r="J366" s="25" t="s">
        <v>43</v>
      </c>
      <c r="K366" s="25" t="s">
        <v>43</v>
      </c>
      <c r="L366" s="25" t="s">
        <v>43</v>
      </c>
    </row>
    <row r="367" spans="1:12" x14ac:dyDescent="0.25">
      <c r="A367" s="25">
        <v>364</v>
      </c>
      <c r="B367" s="25">
        <v>40</v>
      </c>
      <c r="C367" s="25" t="str">
        <f>INDEX(cursoDisciplina!$A$4:$F$112,MATCH(disciplinaGrade!B367,cursoDisciplina!$A$4:$A$112,0),MATCH(cursoDisciplina!$C$4,cursoDisciplina!$A$4:$F$4,0))</f>
        <v>curso 3</v>
      </c>
      <c r="D367" t="str">
        <f>INDEX(cursoDisciplina!$A$4:$F$112,MATCH(disciplinaGrade!B367,cursoDisciplina!$A$4:$A$112,0),MATCH(cursoDisciplina!$E$4,cursoDisciplina!$A$4:$F$4,0))</f>
        <v>Disciplina 11</v>
      </c>
      <c r="E367" t="s">
        <v>11</v>
      </c>
      <c r="F367" t="s">
        <v>10</v>
      </c>
      <c r="G367" s="25" t="s">
        <v>43</v>
      </c>
      <c r="H367" s="25" t="s">
        <v>43</v>
      </c>
      <c r="I367" s="25" t="s">
        <v>43</v>
      </c>
      <c r="J367" s="25" t="s">
        <v>43</v>
      </c>
      <c r="K367" s="25" t="s">
        <v>43</v>
      </c>
      <c r="L367" s="25" t="s">
        <v>43</v>
      </c>
    </row>
    <row r="368" spans="1:12" x14ac:dyDescent="0.25">
      <c r="A368" s="25">
        <v>365</v>
      </c>
      <c r="B368" s="25">
        <v>41</v>
      </c>
      <c r="C368" s="25" t="str">
        <f>INDEX(cursoDisciplina!$A$4:$F$112,MATCH(disciplinaGrade!B368,cursoDisciplina!$A$4:$A$112,0),MATCH(cursoDisciplina!$C$4,cursoDisciplina!$A$4:$F$4,0))</f>
        <v>curso 3</v>
      </c>
      <c r="D368" t="str">
        <f>INDEX(cursoDisciplina!$A$4:$F$112,MATCH(disciplinaGrade!B368,cursoDisciplina!$A$4:$A$112,0),MATCH(cursoDisciplina!$E$4,cursoDisciplina!$A$4:$F$4,0))</f>
        <v>Disciplina 12</v>
      </c>
      <c r="E368" t="s">
        <v>11</v>
      </c>
      <c r="F368" t="s">
        <v>10</v>
      </c>
      <c r="G368" s="25" t="s">
        <v>43</v>
      </c>
      <c r="H368" s="25" t="s">
        <v>43</v>
      </c>
      <c r="I368" s="25" t="s">
        <v>43</v>
      </c>
      <c r="J368" s="25" t="s">
        <v>43</v>
      </c>
      <c r="K368" s="25" t="s">
        <v>43</v>
      </c>
      <c r="L368" s="25" t="s">
        <v>43</v>
      </c>
    </row>
    <row r="369" spans="1:12" x14ac:dyDescent="0.25">
      <c r="A369" s="25">
        <v>366</v>
      </c>
      <c r="B369" s="25">
        <v>42</v>
      </c>
      <c r="C369" s="25" t="str">
        <f>INDEX(cursoDisciplina!$A$4:$F$112,MATCH(disciplinaGrade!B369,cursoDisciplina!$A$4:$A$112,0),MATCH(cursoDisciplina!$C$4,cursoDisciplina!$A$4:$F$4,0))</f>
        <v>curso 3</v>
      </c>
      <c r="D369" t="str">
        <f>INDEX(cursoDisciplina!$A$4:$F$112,MATCH(disciplinaGrade!B369,cursoDisciplina!$A$4:$A$112,0),MATCH(cursoDisciplina!$E$4,cursoDisciplina!$A$4:$F$4,0))</f>
        <v>Disciplina 13</v>
      </c>
      <c r="E369" t="s">
        <v>11</v>
      </c>
      <c r="F369" t="s">
        <v>10</v>
      </c>
      <c r="G369" s="25" t="s">
        <v>43</v>
      </c>
      <c r="H369" s="25" t="s">
        <v>43</v>
      </c>
      <c r="I369" s="25" t="s">
        <v>43</v>
      </c>
      <c r="J369" s="25" t="s">
        <v>43</v>
      </c>
      <c r="K369" s="25" t="s">
        <v>43</v>
      </c>
      <c r="L369" s="25" t="s">
        <v>43</v>
      </c>
    </row>
    <row r="370" spans="1:12" x14ac:dyDescent="0.25">
      <c r="A370" s="25">
        <v>367</v>
      </c>
      <c r="B370" s="25">
        <v>43</v>
      </c>
      <c r="C370" s="25" t="str">
        <f>INDEX(cursoDisciplina!$A$4:$F$112,MATCH(disciplinaGrade!B370,cursoDisciplina!$A$4:$A$112,0),MATCH(cursoDisciplina!$C$4,cursoDisciplina!$A$4:$F$4,0))</f>
        <v>curso 3</v>
      </c>
      <c r="D370" t="str">
        <f>INDEX(cursoDisciplina!$A$4:$F$112,MATCH(disciplinaGrade!B370,cursoDisciplina!$A$4:$A$112,0),MATCH(cursoDisciplina!$E$4,cursoDisciplina!$A$4:$F$4,0))</f>
        <v>Disciplina 14</v>
      </c>
      <c r="E370" t="s">
        <v>11</v>
      </c>
      <c r="F370" t="s">
        <v>10</v>
      </c>
      <c r="G370" s="25" t="s">
        <v>43</v>
      </c>
      <c r="H370" s="25" t="s">
        <v>43</v>
      </c>
      <c r="I370" s="25" t="s">
        <v>43</v>
      </c>
      <c r="J370" s="25" t="s">
        <v>43</v>
      </c>
      <c r="K370" s="25" t="s">
        <v>43</v>
      </c>
      <c r="L370" s="25" t="s">
        <v>43</v>
      </c>
    </row>
    <row r="371" spans="1:12" x14ac:dyDescent="0.25">
      <c r="A371" s="25">
        <v>368</v>
      </c>
      <c r="B371" s="25">
        <v>44</v>
      </c>
      <c r="C371" s="25" t="str">
        <f>INDEX(cursoDisciplina!$A$4:$F$112,MATCH(disciplinaGrade!B371,cursoDisciplina!$A$4:$A$112,0),MATCH(cursoDisciplina!$C$4,cursoDisciplina!$A$4:$F$4,0))</f>
        <v>curso 3</v>
      </c>
      <c r="D371" t="str">
        <f>INDEX(cursoDisciplina!$A$4:$F$112,MATCH(disciplinaGrade!B371,cursoDisciplina!$A$4:$A$112,0),MATCH(cursoDisciplina!$E$4,cursoDisciplina!$A$4:$F$4,0))</f>
        <v>Disciplina 15</v>
      </c>
      <c r="E371" t="s">
        <v>11</v>
      </c>
      <c r="F371" t="s">
        <v>10</v>
      </c>
      <c r="G371" s="25" t="s">
        <v>43</v>
      </c>
      <c r="H371" s="25" t="s">
        <v>43</v>
      </c>
      <c r="I371" s="25" t="s">
        <v>43</v>
      </c>
      <c r="J371" s="25" t="s">
        <v>43</v>
      </c>
      <c r="K371" s="25" t="s">
        <v>43</v>
      </c>
      <c r="L371" s="25" t="s">
        <v>43</v>
      </c>
    </row>
    <row r="372" spans="1:12" x14ac:dyDescent="0.25">
      <c r="A372" s="25">
        <v>369</v>
      </c>
      <c r="B372" s="25">
        <v>45</v>
      </c>
      <c r="C372" s="25" t="str">
        <f>INDEX(cursoDisciplina!$A$4:$F$112,MATCH(disciplinaGrade!B372,cursoDisciplina!$A$4:$A$112,0),MATCH(cursoDisciplina!$C$4,cursoDisciplina!$A$4:$F$4,0))</f>
        <v>curso 3</v>
      </c>
      <c r="D372" t="str">
        <f>INDEX(cursoDisciplina!$A$4:$F$112,MATCH(disciplinaGrade!B372,cursoDisciplina!$A$4:$A$112,0),MATCH(cursoDisciplina!$E$4,cursoDisciplina!$A$4:$F$4,0))</f>
        <v>Disciplina 16</v>
      </c>
      <c r="E372" t="s">
        <v>11</v>
      </c>
      <c r="F372" t="s">
        <v>10</v>
      </c>
      <c r="G372" s="25" t="s">
        <v>43</v>
      </c>
      <c r="H372" s="25" t="s">
        <v>43</v>
      </c>
      <c r="I372" s="25" t="s">
        <v>43</v>
      </c>
      <c r="J372" s="25" t="s">
        <v>43</v>
      </c>
      <c r="K372" s="25" t="s">
        <v>43</v>
      </c>
      <c r="L372" s="25" t="s">
        <v>43</v>
      </c>
    </row>
    <row r="373" spans="1:12" x14ac:dyDescent="0.25">
      <c r="A373" s="25">
        <v>370</v>
      </c>
      <c r="B373" s="25">
        <v>46</v>
      </c>
      <c r="C373" s="25" t="str">
        <f>INDEX(cursoDisciplina!$A$4:$F$112,MATCH(disciplinaGrade!B373,cursoDisciplina!$A$4:$A$112,0),MATCH(cursoDisciplina!$C$4,cursoDisciplina!$A$4:$F$4,0))</f>
        <v>curso 3</v>
      </c>
      <c r="D373" t="str">
        <f>INDEX(cursoDisciplina!$A$4:$F$112,MATCH(disciplinaGrade!B373,cursoDisciplina!$A$4:$A$112,0),MATCH(cursoDisciplina!$E$4,cursoDisciplina!$A$4:$F$4,0))</f>
        <v>Disciplina 17</v>
      </c>
      <c r="E373" t="s">
        <v>11</v>
      </c>
      <c r="F373" t="s">
        <v>10</v>
      </c>
      <c r="G373" s="25" t="s">
        <v>43</v>
      </c>
      <c r="H373" s="25" t="s">
        <v>43</v>
      </c>
      <c r="I373" s="25" t="s">
        <v>43</v>
      </c>
      <c r="J373" s="25" t="s">
        <v>43</v>
      </c>
      <c r="K373" s="25" t="s">
        <v>43</v>
      </c>
      <c r="L373" s="25" t="s">
        <v>43</v>
      </c>
    </row>
    <row r="374" spans="1:12" x14ac:dyDescent="0.25">
      <c r="A374" s="25">
        <v>371</v>
      </c>
      <c r="B374" s="25">
        <v>47</v>
      </c>
      <c r="C374" s="25" t="str">
        <f>INDEX(cursoDisciplina!$A$4:$F$112,MATCH(disciplinaGrade!B374,cursoDisciplina!$A$4:$A$112,0),MATCH(cursoDisciplina!$C$4,cursoDisciplina!$A$4:$F$4,0))</f>
        <v>curso 3</v>
      </c>
      <c r="D374" t="str">
        <f>INDEX(cursoDisciplina!$A$4:$F$112,MATCH(disciplinaGrade!B374,cursoDisciplina!$A$4:$A$112,0),MATCH(cursoDisciplina!$E$4,cursoDisciplina!$A$4:$F$4,0))</f>
        <v>Disciplina 18</v>
      </c>
      <c r="E374" t="s">
        <v>11</v>
      </c>
      <c r="F374" t="s">
        <v>10</v>
      </c>
      <c r="G374" s="25" t="s">
        <v>43</v>
      </c>
      <c r="H374" s="25" t="s">
        <v>43</v>
      </c>
      <c r="I374" s="25" t="s">
        <v>43</v>
      </c>
      <c r="J374" s="25" t="s">
        <v>43</v>
      </c>
      <c r="K374" s="25" t="s">
        <v>43</v>
      </c>
      <c r="L374" s="25" t="s">
        <v>43</v>
      </c>
    </row>
    <row r="375" spans="1:12" x14ac:dyDescent="0.25">
      <c r="A375" s="25">
        <v>372</v>
      </c>
      <c r="B375" s="25">
        <v>48</v>
      </c>
      <c r="C375" s="25" t="str">
        <f>INDEX(cursoDisciplina!$A$4:$F$112,MATCH(disciplinaGrade!B375,cursoDisciplina!$A$4:$A$112,0),MATCH(cursoDisciplina!$C$4,cursoDisciplina!$A$4:$F$4,0))</f>
        <v>curso 3</v>
      </c>
      <c r="D375" t="str">
        <f>INDEX(cursoDisciplina!$A$4:$F$112,MATCH(disciplinaGrade!B375,cursoDisciplina!$A$4:$A$112,0),MATCH(cursoDisciplina!$E$4,cursoDisciplina!$A$4:$F$4,0))</f>
        <v>Disciplina 19</v>
      </c>
      <c r="E375" t="s">
        <v>11</v>
      </c>
      <c r="F375" t="s">
        <v>10</v>
      </c>
      <c r="G375" s="25" t="s">
        <v>43</v>
      </c>
      <c r="H375" s="25" t="s">
        <v>43</v>
      </c>
      <c r="I375" s="25" t="s">
        <v>43</v>
      </c>
      <c r="J375" s="25" t="s">
        <v>43</v>
      </c>
      <c r="K375" s="25" t="s">
        <v>43</v>
      </c>
      <c r="L375" s="25" t="s">
        <v>43</v>
      </c>
    </row>
    <row r="376" spans="1:12" x14ac:dyDescent="0.25">
      <c r="A376" s="25">
        <v>373</v>
      </c>
      <c r="B376" s="25">
        <v>49</v>
      </c>
      <c r="C376" s="25" t="str">
        <f>INDEX(cursoDisciplina!$A$4:$F$112,MATCH(disciplinaGrade!B376,cursoDisciplina!$A$4:$A$112,0),MATCH(cursoDisciplina!$C$4,cursoDisciplina!$A$4:$F$4,0))</f>
        <v>curso 3</v>
      </c>
      <c r="D376" t="str">
        <f>INDEX(cursoDisciplina!$A$4:$F$112,MATCH(disciplinaGrade!B376,cursoDisciplina!$A$4:$A$112,0),MATCH(cursoDisciplina!$E$4,cursoDisciplina!$A$4:$F$4,0))</f>
        <v>Disciplina 20</v>
      </c>
      <c r="E376" t="s">
        <v>11</v>
      </c>
      <c r="F376" t="s">
        <v>10</v>
      </c>
      <c r="G376" s="25" t="s">
        <v>43</v>
      </c>
      <c r="H376" s="25" t="s">
        <v>43</v>
      </c>
      <c r="I376" s="25" t="s">
        <v>43</v>
      </c>
      <c r="J376" s="25" t="s">
        <v>43</v>
      </c>
      <c r="K376" s="25" t="s">
        <v>43</v>
      </c>
      <c r="L376" s="25" t="s">
        <v>43</v>
      </c>
    </row>
    <row r="377" spans="1:12" x14ac:dyDescent="0.25">
      <c r="A377" s="25">
        <v>374</v>
      </c>
      <c r="B377" s="25">
        <v>43</v>
      </c>
      <c r="C377" s="25" t="str">
        <f>INDEX(cursoDisciplina!$A$4:$F$112,MATCH(disciplinaGrade!B377,cursoDisciplina!$A$4:$A$112,0),MATCH(cursoDisciplina!$C$4,cursoDisciplina!$A$4:$F$4,0))</f>
        <v>curso 3</v>
      </c>
      <c r="D377" t="str">
        <f>INDEX(cursoDisciplina!$A$4:$F$112,MATCH(disciplinaGrade!B377,cursoDisciplina!$A$4:$A$112,0),MATCH(cursoDisciplina!$E$4,cursoDisciplina!$A$4:$F$4,0))</f>
        <v>Disciplina 14</v>
      </c>
      <c r="E377" t="s">
        <v>11</v>
      </c>
      <c r="F377" t="s">
        <v>10</v>
      </c>
      <c r="G377" s="25" t="s">
        <v>43</v>
      </c>
      <c r="H377" s="25" t="s">
        <v>43</v>
      </c>
      <c r="I377" s="25" t="s">
        <v>43</v>
      </c>
      <c r="J377" s="25" t="s">
        <v>43</v>
      </c>
      <c r="K377" s="25" t="s">
        <v>43</v>
      </c>
      <c r="L377" s="25" t="s">
        <v>43</v>
      </c>
    </row>
    <row r="378" spans="1:12" x14ac:dyDescent="0.25">
      <c r="A378" s="25">
        <v>375</v>
      </c>
      <c r="B378" s="25">
        <v>44</v>
      </c>
      <c r="C378" s="25" t="str">
        <f>INDEX(cursoDisciplina!$A$4:$F$112,MATCH(disciplinaGrade!B378,cursoDisciplina!$A$4:$A$112,0),MATCH(cursoDisciplina!$C$4,cursoDisciplina!$A$4:$F$4,0))</f>
        <v>curso 3</v>
      </c>
      <c r="D378" t="str">
        <f>INDEX(cursoDisciplina!$A$4:$F$112,MATCH(disciplinaGrade!B378,cursoDisciplina!$A$4:$A$112,0),MATCH(cursoDisciplina!$E$4,cursoDisciplina!$A$4:$F$4,0))</f>
        <v>Disciplina 15</v>
      </c>
      <c r="E378" t="s">
        <v>11</v>
      </c>
      <c r="F378" t="s">
        <v>10</v>
      </c>
      <c r="G378" s="25" t="s">
        <v>43</v>
      </c>
      <c r="H378" s="25" t="s">
        <v>43</v>
      </c>
      <c r="I378" s="25" t="s">
        <v>43</v>
      </c>
      <c r="J378" s="25" t="s">
        <v>43</v>
      </c>
      <c r="K378" s="25" t="s">
        <v>43</v>
      </c>
      <c r="L378" s="25" t="s">
        <v>43</v>
      </c>
    </row>
    <row r="379" spans="1:12" x14ac:dyDescent="0.25">
      <c r="A379" s="25">
        <v>376</v>
      </c>
      <c r="B379" s="25">
        <v>45</v>
      </c>
      <c r="C379" s="25" t="str">
        <f>INDEX(cursoDisciplina!$A$4:$F$112,MATCH(disciplinaGrade!B379,cursoDisciplina!$A$4:$A$112,0),MATCH(cursoDisciplina!$C$4,cursoDisciplina!$A$4:$F$4,0))</f>
        <v>curso 3</v>
      </c>
      <c r="D379" t="str">
        <f>INDEX(cursoDisciplina!$A$4:$F$112,MATCH(disciplinaGrade!B379,cursoDisciplina!$A$4:$A$112,0),MATCH(cursoDisciplina!$E$4,cursoDisciplina!$A$4:$F$4,0))</f>
        <v>Disciplina 16</v>
      </c>
      <c r="E379" t="s">
        <v>11</v>
      </c>
      <c r="F379" t="s">
        <v>10</v>
      </c>
      <c r="G379" s="25" t="s">
        <v>43</v>
      </c>
      <c r="H379" s="25" t="s">
        <v>43</v>
      </c>
      <c r="I379" s="25" t="s">
        <v>43</v>
      </c>
      <c r="J379" s="25" t="s">
        <v>43</v>
      </c>
      <c r="K379" s="25" t="s">
        <v>43</v>
      </c>
      <c r="L379" s="25" t="s">
        <v>43</v>
      </c>
    </row>
    <row r="380" spans="1:12" x14ac:dyDescent="0.25">
      <c r="A380" s="25">
        <v>377</v>
      </c>
      <c r="B380" s="25">
        <v>46</v>
      </c>
      <c r="C380" s="25" t="str">
        <f>INDEX(cursoDisciplina!$A$4:$F$112,MATCH(disciplinaGrade!B380,cursoDisciplina!$A$4:$A$112,0),MATCH(cursoDisciplina!$C$4,cursoDisciplina!$A$4:$F$4,0))</f>
        <v>curso 3</v>
      </c>
      <c r="D380" t="str">
        <f>INDEX(cursoDisciplina!$A$4:$F$112,MATCH(disciplinaGrade!B380,cursoDisciplina!$A$4:$A$112,0),MATCH(cursoDisciplina!$E$4,cursoDisciplina!$A$4:$F$4,0))</f>
        <v>Disciplina 17</v>
      </c>
      <c r="E380" t="s">
        <v>11</v>
      </c>
      <c r="F380" t="s">
        <v>10</v>
      </c>
      <c r="G380" s="25" t="s">
        <v>43</v>
      </c>
      <c r="H380" s="25" t="s">
        <v>43</v>
      </c>
      <c r="I380" s="25" t="s">
        <v>43</v>
      </c>
      <c r="J380" s="25" t="s">
        <v>43</v>
      </c>
      <c r="K380" s="25" t="s">
        <v>43</v>
      </c>
      <c r="L380" s="25" t="s">
        <v>43</v>
      </c>
    </row>
    <row r="381" spans="1:12" x14ac:dyDescent="0.25">
      <c r="A381" s="25">
        <v>378</v>
      </c>
      <c r="B381" s="25">
        <v>47</v>
      </c>
      <c r="C381" s="25" t="str">
        <f>INDEX(cursoDisciplina!$A$4:$F$112,MATCH(disciplinaGrade!B381,cursoDisciplina!$A$4:$A$112,0),MATCH(cursoDisciplina!$C$4,cursoDisciplina!$A$4:$F$4,0))</f>
        <v>curso 3</v>
      </c>
      <c r="D381" t="str">
        <f>INDEX(cursoDisciplina!$A$4:$F$112,MATCH(disciplinaGrade!B381,cursoDisciplina!$A$4:$A$112,0),MATCH(cursoDisciplina!$E$4,cursoDisciplina!$A$4:$F$4,0))</f>
        <v>Disciplina 18</v>
      </c>
      <c r="E381" t="s">
        <v>11</v>
      </c>
      <c r="F381" t="s">
        <v>10</v>
      </c>
      <c r="G381" s="25" t="s">
        <v>43</v>
      </c>
      <c r="H381" s="25" t="s">
        <v>43</v>
      </c>
      <c r="I381" s="25" t="s">
        <v>43</v>
      </c>
      <c r="J381" s="25" t="s">
        <v>43</v>
      </c>
      <c r="K381" s="25" t="s">
        <v>43</v>
      </c>
      <c r="L381" s="25" t="s">
        <v>43</v>
      </c>
    </row>
    <row r="382" spans="1:12" x14ac:dyDescent="0.25">
      <c r="A382" s="25">
        <v>379</v>
      </c>
      <c r="B382" s="25">
        <v>44</v>
      </c>
      <c r="C382" s="25" t="str">
        <f>INDEX(cursoDisciplina!$A$4:$F$112,MATCH(disciplinaGrade!B382,cursoDisciplina!$A$4:$A$112,0),MATCH(cursoDisciplina!$C$4,cursoDisciplina!$A$4:$F$4,0))</f>
        <v>curso 3</v>
      </c>
      <c r="D382" t="str">
        <f>INDEX(cursoDisciplina!$A$4:$F$112,MATCH(disciplinaGrade!B382,cursoDisciplina!$A$4:$A$112,0),MATCH(cursoDisciplina!$E$4,cursoDisciplina!$A$4:$F$4,0))</f>
        <v>Disciplina 15</v>
      </c>
      <c r="E382" t="s">
        <v>11</v>
      </c>
      <c r="F382" t="s">
        <v>10</v>
      </c>
      <c r="G382" s="25" t="s">
        <v>43</v>
      </c>
      <c r="H382" s="25" t="s">
        <v>43</v>
      </c>
      <c r="I382" s="25" t="s">
        <v>43</v>
      </c>
      <c r="J382" s="25" t="s">
        <v>43</v>
      </c>
      <c r="K382" s="25" t="s">
        <v>43</v>
      </c>
      <c r="L382" s="25" t="s">
        <v>43</v>
      </c>
    </row>
    <row r="383" spans="1:12" x14ac:dyDescent="0.25">
      <c r="A383" s="25">
        <v>380</v>
      </c>
      <c r="B383" s="25">
        <v>45</v>
      </c>
      <c r="C383" s="25" t="str">
        <f>INDEX(cursoDisciplina!$A$4:$F$112,MATCH(disciplinaGrade!B383,cursoDisciplina!$A$4:$A$112,0),MATCH(cursoDisciplina!$C$4,cursoDisciplina!$A$4:$F$4,0))</f>
        <v>curso 3</v>
      </c>
      <c r="D383" t="str">
        <f>INDEX(cursoDisciplina!$A$4:$F$112,MATCH(disciplinaGrade!B383,cursoDisciplina!$A$4:$A$112,0),MATCH(cursoDisciplina!$E$4,cursoDisciplina!$A$4:$F$4,0))</f>
        <v>Disciplina 16</v>
      </c>
      <c r="E383" t="s">
        <v>11</v>
      </c>
      <c r="F383" t="s">
        <v>10</v>
      </c>
      <c r="G383" s="25" t="s">
        <v>43</v>
      </c>
      <c r="H383" s="25" t="s">
        <v>43</v>
      </c>
      <c r="I383" s="25" t="s">
        <v>43</v>
      </c>
      <c r="J383" s="25" t="s">
        <v>43</v>
      </c>
      <c r="K383" s="25" t="s">
        <v>43</v>
      </c>
      <c r="L383" s="25" t="s">
        <v>43</v>
      </c>
    </row>
    <row r="384" spans="1:12" x14ac:dyDescent="0.25">
      <c r="A384" s="25">
        <v>381</v>
      </c>
      <c r="B384" s="25">
        <v>46</v>
      </c>
      <c r="C384" s="25" t="str">
        <f>INDEX(cursoDisciplina!$A$4:$F$112,MATCH(disciplinaGrade!B384,cursoDisciplina!$A$4:$A$112,0),MATCH(cursoDisciplina!$C$4,cursoDisciplina!$A$4:$F$4,0))</f>
        <v>curso 3</v>
      </c>
      <c r="D384" t="str">
        <f>INDEX(cursoDisciplina!$A$4:$F$112,MATCH(disciplinaGrade!B384,cursoDisciplina!$A$4:$A$112,0),MATCH(cursoDisciplina!$E$4,cursoDisciplina!$A$4:$F$4,0))</f>
        <v>Disciplina 17</v>
      </c>
      <c r="E384" t="s">
        <v>11</v>
      </c>
      <c r="F384" t="s">
        <v>10</v>
      </c>
      <c r="G384" s="25" t="s">
        <v>43</v>
      </c>
      <c r="H384" s="25" t="s">
        <v>43</v>
      </c>
      <c r="I384" s="25" t="s">
        <v>43</v>
      </c>
      <c r="J384" s="25" t="s">
        <v>43</v>
      </c>
      <c r="K384" s="25" t="s">
        <v>43</v>
      </c>
      <c r="L384" s="25" t="s">
        <v>43</v>
      </c>
    </row>
    <row r="385" spans="1:12" x14ac:dyDescent="0.25">
      <c r="A385" s="25">
        <v>382</v>
      </c>
      <c r="B385" s="25">
        <v>47</v>
      </c>
      <c r="C385" s="25" t="str">
        <f>INDEX(cursoDisciplina!$A$4:$F$112,MATCH(disciplinaGrade!B385,cursoDisciplina!$A$4:$A$112,0),MATCH(cursoDisciplina!$C$4,cursoDisciplina!$A$4:$F$4,0))</f>
        <v>curso 3</v>
      </c>
      <c r="D385" t="str">
        <f>INDEX(cursoDisciplina!$A$4:$F$112,MATCH(disciplinaGrade!B385,cursoDisciplina!$A$4:$A$112,0),MATCH(cursoDisciplina!$E$4,cursoDisciplina!$A$4:$F$4,0))</f>
        <v>Disciplina 18</v>
      </c>
      <c r="E385" t="s">
        <v>11</v>
      </c>
      <c r="F385" t="s">
        <v>10</v>
      </c>
      <c r="G385" s="25" t="s">
        <v>43</v>
      </c>
      <c r="H385" s="25" t="s">
        <v>43</v>
      </c>
      <c r="I385" s="25" t="s">
        <v>43</v>
      </c>
      <c r="J385" s="25" t="s">
        <v>43</v>
      </c>
      <c r="K385" s="25" t="s">
        <v>43</v>
      </c>
      <c r="L385" s="25" t="s">
        <v>43</v>
      </c>
    </row>
    <row r="386" spans="1:12" x14ac:dyDescent="0.25">
      <c r="A386" s="25">
        <v>383</v>
      </c>
      <c r="B386" s="25">
        <v>48</v>
      </c>
      <c r="C386" s="25" t="str">
        <f>INDEX(cursoDisciplina!$A$4:$F$112,MATCH(disciplinaGrade!B386,cursoDisciplina!$A$4:$A$112,0),MATCH(cursoDisciplina!$C$4,cursoDisciplina!$A$4:$F$4,0))</f>
        <v>curso 3</v>
      </c>
      <c r="D386" t="str">
        <f>INDEX(cursoDisciplina!$A$4:$F$112,MATCH(disciplinaGrade!B386,cursoDisciplina!$A$4:$A$112,0),MATCH(cursoDisciplina!$E$4,cursoDisciplina!$A$4:$F$4,0))</f>
        <v>Disciplina 19</v>
      </c>
      <c r="E386" t="s">
        <v>11</v>
      </c>
      <c r="F386" t="s">
        <v>10</v>
      </c>
      <c r="G386" s="25" t="s">
        <v>43</v>
      </c>
      <c r="H386" s="25" t="s">
        <v>43</v>
      </c>
      <c r="I386" s="25" t="s">
        <v>43</v>
      </c>
      <c r="J386" s="25" t="s">
        <v>43</v>
      </c>
      <c r="K386" s="25" t="s">
        <v>43</v>
      </c>
      <c r="L386" s="25" t="s">
        <v>43</v>
      </c>
    </row>
    <row r="387" spans="1:12" x14ac:dyDescent="0.25">
      <c r="A387" s="25">
        <v>384</v>
      </c>
      <c r="B387" s="25">
        <v>49</v>
      </c>
      <c r="C387" s="25" t="str">
        <f>INDEX(cursoDisciplina!$A$4:$F$112,MATCH(disciplinaGrade!B387,cursoDisciplina!$A$4:$A$112,0),MATCH(cursoDisciplina!$C$4,cursoDisciplina!$A$4:$F$4,0))</f>
        <v>curso 3</v>
      </c>
      <c r="D387" t="str">
        <f>INDEX(cursoDisciplina!$A$4:$F$112,MATCH(disciplinaGrade!B387,cursoDisciplina!$A$4:$A$112,0),MATCH(cursoDisciplina!$E$4,cursoDisciplina!$A$4:$F$4,0))</f>
        <v>Disciplina 20</v>
      </c>
      <c r="E387" t="s">
        <v>11</v>
      </c>
      <c r="F387" t="s">
        <v>10</v>
      </c>
      <c r="G387" s="25" t="s">
        <v>43</v>
      </c>
      <c r="H387" s="25" t="s">
        <v>43</v>
      </c>
      <c r="I387" s="25" t="s">
        <v>43</v>
      </c>
      <c r="J387" s="25" t="s">
        <v>43</v>
      </c>
      <c r="K387" s="25" t="s">
        <v>43</v>
      </c>
      <c r="L387" s="25" t="s">
        <v>43</v>
      </c>
    </row>
    <row r="388" spans="1:12" x14ac:dyDescent="0.25">
      <c r="A388" s="25">
        <v>385</v>
      </c>
      <c r="B388" s="25">
        <v>50</v>
      </c>
      <c r="C388" s="25" t="str">
        <f>INDEX(cursoDisciplina!$A$4:$F$112,MATCH(disciplinaGrade!B388,cursoDisciplina!$A$4:$A$112,0),MATCH(cursoDisciplina!$C$4,cursoDisciplina!$A$4:$F$4,0))</f>
        <v>curso 3</v>
      </c>
      <c r="D388" t="str">
        <f>INDEX(cursoDisciplina!$A$4:$F$112,MATCH(disciplinaGrade!B388,cursoDisciplina!$A$4:$A$112,0),MATCH(cursoDisciplina!$E$4,cursoDisciplina!$A$4:$F$4,0))</f>
        <v>Disciplina 21</v>
      </c>
      <c r="E388" t="s">
        <v>11</v>
      </c>
      <c r="F388" t="s">
        <v>10</v>
      </c>
      <c r="G388" s="25" t="s">
        <v>43</v>
      </c>
      <c r="H388" s="25" t="s">
        <v>43</v>
      </c>
      <c r="I388" s="25" t="s">
        <v>43</v>
      </c>
      <c r="J388" s="25" t="s">
        <v>43</v>
      </c>
      <c r="K388" s="25" t="s">
        <v>43</v>
      </c>
      <c r="L388" s="25" t="s">
        <v>43</v>
      </c>
    </row>
    <row r="389" spans="1:12" x14ac:dyDescent="0.25">
      <c r="A389" s="25">
        <v>386</v>
      </c>
      <c r="B389" s="25">
        <v>51</v>
      </c>
      <c r="C389" s="25" t="str">
        <f>INDEX(cursoDisciplina!$A$4:$F$112,MATCH(disciplinaGrade!B389,cursoDisciplina!$A$4:$A$112,0),MATCH(cursoDisciplina!$C$4,cursoDisciplina!$A$4:$F$4,0))</f>
        <v>curso 3</v>
      </c>
      <c r="D389" t="str">
        <f>INDEX(cursoDisciplina!$A$4:$F$112,MATCH(disciplinaGrade!B389,cursoDisciplina!$A$4:$A$112,0),MATCH(cursoDisciplina!$E$4,cursoDisciplina!$A$4:$F$4,0))</f>
        <v>Disciplina 22</v>
      </c>
      <c r="E389" t="s">
        <v>11</v>
      </c>
      <c r="F389" t="s">
        <v>10</v>
      </c>
      <c r="G389" s="25" t="s">
        <v>43</v>
      </c>
      <c r="H389" s="25" t="s">
        <v>43</v>
      </c>
      <c r="I389" s="25" t="s">
        <v>43</v>
      </c>
      <c r="J389" s="25" t="s">
        <v>43</v>
      </c>
      <c r="K389" s="25" t="s">
        <v>43</v>
      </c>
      <c r="L389" s="25" t="s">
        <v>43</v>
      </c>
    </row>
    <row r="390" spans="1:12" x14ac:dyDescent="0.25">
      <c r="A390" s="25">
        <v>387</v>
      </c>
      <c r="B390" s="25">
        <v>52</v>
      </c>
      <c r="C390" s="25" t="str">
        <f>INDEX(cursoDisciplina!$A$4:$F$112,MATCH(disciplinaGrade!B390,cursoDisciplina!$A$4:$A$112,0),MATCH(cursoDisciplina!$C$4,cursoDisciplina!$A$4:$F$4,0))</f>
        <v>curso 3</v>
      </c>
      <c r="D390" t="str">
        <f>INDEX(cursoDisciplina!$A$4:$F$112,MATCH(disciplinaGrade!B390,cursoDisciplina!$A$4:$A$112,0),MATCH(cursoDisciplina!$E$4,cursoDisciplina!$A$4:$F$4,0))</f>
        <v>Disciplina 23</v>
      </c>
      <c r="E390" t="s">
        <v>11</v>
      </c>
      <c r="F390" t="s">
        <v>10</v>
      </c>
      <c r="G390" s="25" t="s">
        <v>43</v>
      </c>
      <c r="H390" s="25" t="s">
        <v>43</v>
      </c>
      <c r="I390" s="25" t="s">
        <v>43</v>
      </c>
      <c r="J390" s="25" t="s">
        <v>43</v>
      </c>
      <c r="K390" s="25" t="s">
        <v>43</v>
      </c>
      <c r="L390" s="25" t="s">
        <v>43</v>
      </c>
    </row>
    <row r="391" spans="1:12" x14ac:dyDescent="0.25">
      <c r="A391" s="25">
        <v>388</v>
      </c>
      <c r="B391" s="25">
        <v>53</v>
      </c>
      <c r="C391" s="25" t="str">
        <f>INDEX(cursoDisciplina!$A$4:$F$112,MATCH(disciplinaGrade!B391,cursoDisciplina!$A$4:$A$112,0),MATCH(cursoDisciplina!$C$4,cursoDisciplina!$A$4:$F$4,0))</f>
        <v>curso 3</v>
      </c>
      <c r="D391" t="str">
        <f>INDEX(cursoDisciplina!$A$4:$F$112,MATCH(disciplinaGrade!B391,cursoDisciplina!$A$4:$A$112,0),MATCH(cursoDisciplina!$E$4,cursoDisciplina!$A$4:$F$4,0))</f>
        <v>Disciplina 24</v>
      </c>
      <c r="E391" t="s">
        <v>11</v>
      </c>
      <c r="F391" t="s">
        <v>10</v>
      </c>
      <c r="G391" s="25" t="s">
        <v>43</v>
      </c>
      <c r="H391" s="25" t="s">
        <v>43</v>
      </c>
      <c r="I391" s="25" t="s">
        <v>43</v>
      </c>
      <c r="J391" s="25" t="s">
        <v>43</v>
      </c>
      <c r="K391" s="25" t="s">
        <v>43</v>
      </c>
      <c r="L391" s="25" t="s">
        <v>43</v>
      </c>
    </row>
    <row r="392" spans="1:12" x14ac:dyDescent="0.25">
      <c r="A392" s="25">
        <v>389</v>
      </c>
      <c r="B392" s="25">
        <v>54</v>
      </c>
      <c r="C392" s="25" t="str">
        <f>INDEX(cursoDisciplina!$A$4:$F$112,MATCH(disciplinaGrade!B392,cursoDisciplina!$A$4:$A$112,0),MATCH(cursoDisciplina!$C$4,cursoDisciplina!$A$4:$F$4,0))</f>
        <v>curso 3</v>
      </c>
      <c r="D392" t="str">
        <f>INDEX(cursoDisciplina!$A$4:$F$112,MATCH(disciplinaGrade!B392,cursoDisciplina!$A$4:$A$112,0),MATCH(cursoDisciplina!$E$4,cursoDisciplina!$A$4:$F$4,0))</f>
        <v>Disciplina 25</v>
      </c>
      <c r="E392" t="s">
        <v>11</v>
      </c>
      <c r="F392" t="s">
        <v>10</v>
      </c>
      <c r="G392" s="25" t="s">
        <v>43</v>
      </c>
      <c r="H392" s="25" t="s">
        <v>43</v>
      </c>
      <c r="I392" s="25" t="s">
        <v>43</v>
      </c>
      <c r="J392" s="25" t="s">
        <v>43</v>
      </c>
      <c r="K392" s="25" t="s">
        <v>43</v>
      </c>
      <c r="L392" s="25" t="s">
        <v>43</v>
      </c>
    </row>
    <row r="393" spans="1:12" x14ac:dyDescent="0.25">
      <c r="A393" s="25">
        <v>390</v>
      </c>
      <c r="B393" s="25">
        <v>49</v>
      </c>
      <c r="C393" s="25" t="str">
        <f>INDEX(cursoDisciplina!$A$4:$F$112,MATCH(disciplinaGrade!B393,cursoDisciplina!$A$4:$A$112,0),MATCH(cursoDisciplina!$C$4,cursoDisciplina!$A$4:$F$4,0))</f>
        <v>curso 3</v>
      </c>
      <c r="D393" t="str">
        <f>INDEX(cursoDisciplina!$A$4:$F$112,MATCH(disciplinaGrade!B393,cursoDisciplina!$A$4:$A$112,0),MATCH(cursoDisciplina!$E$4,cursoDisciplina!$A$4:$F$4,0))</f>
        <v>Disciplina 20</v>
      </c>
      <c r="E393" t="s">
        <v>11</v>
      </c>
      <c r="F393" t="s">
        <v>10</v>
      </c>
      <c r="G393" s="25" t="s">
        <v>43</v>
      </c>
      <c r="H393" s="25" t="s">
        <v>43</v>
      </c>
      <c r="I393" s="25" t="s">
        <v>43</v>
      </c>
      <c r="J393" s="25" t="s">
        <v>43</v>
      </c>
      <c r="K393" s="25" t="s">
        <v>43</v>
      </c>
      <c r="L393" s="25" t="s">
        <v>43</v>
      </c>
    </row>
    <row r="394" spans="1:12" x14ac:dyDescent="0.25">
      <c r="A394" s="25">
        <v>391</v>
      </c>
      <c r="B394" s="25">
        <v>50</v>
      </c>
      <c r="C394" s="25" t="str">
        <f>INDEX(cursoDisciplina!$A$4:$F$112,MATCH(disciplinaGrade!B394,cursoDisciplina!$A$4:$A$112,0),MATCH(cursoDisciplina!$C$4,cursoDisciplina!$A$4:$F$4,0))</f>
        <v>curso 3</v>
      </c>
      <c r="D394" t="str">
        <f>INDEX(cursoDisciplina!$A$4:$F$112,MATCH(disciplinaGrade!B394,cursoDisciplina!$A$4:$A$112,0),MATCH(cursoDisciplina!$E$4,cursoDisciplina!$A$4:$F$4,0))</f>
        <v>Disciplina 21</v>
      </c>
      <c r="E394" t="s">
        <v>11</v>
      </c>
      <c r="F394" t="s">
        <v>10</v>
      </c>
      <c r="G394" s="25" t="s">
        <v>43</v>
      </c>
      <c r="H394" s="25" t="s">
        <v>43</v>
      </c>
      <c r="I394" s="25" t="s">
        <v>43</v>
      </c>
      <c r="J394" s="25" t="s">
        <v>43</v>
      </c>
      <c r="K394" s="25" t="s">
        <v>43</v>
      </c>
      <c r="L394" s="25" t="s">
        <v>43</v>
      </c>
    </row>
    <row r="395" spans="1:12" x14ac:dyDescent="0.25">
      <c r="A395" s="25">
        <v>392</v>
      </c>
      <c r="B395" s="25">
        <v>51</v>
      </c>
      <c r="C395" s="25" t="str">
        <f>INDEX(cursoDisciplina!$A$4:$F$112,MATCH(disciplinaGrade!B395,cursoDisciplina!$A$4:$A$112,0),MATCH(cursoDisciplina!$C$4,cursoDisciplina!$A$4:$F$4,0))</f>
        <v>curso 3</v>
      </c>
      <c r="D395" t="str">
        <f>INDEX(cursoDisciplina!$A$4:$F$112,MATCH(disciplinaGrade!B395,cursoDisciplina!$A$4:$A$112,0),MATCH(cursoDisciplina!$E$4,cursoDisciplina!$A$4:$F$4,0))</f>
        <v>Disciplina 22</v>
      </c>
      <c r="E395" t="s">
        <v>11</v>
      </c>
      <c r="F395" t="s">
        <v>10</v>
      </c>
      <c r="G395" s="25" t="s">
        <v>43</v>
      </c>
      <c r="H395" s="25" t="s">
        <v>43</v>
      </c>
      <c r="I395" s="25" t="s">
        <v>43</v>
      </c>
      <c r="J395" s="25" t="s">
        <v>43</v>
      </c>
      <c r="K395" s="25" t="s">
        <v>43</v>
      </c>
      <c r="L395" s="25" t="s">
        <v>43</v>
      </c>
    </row>
    <row r="396" spans="1:12" x14ac:dyDescent="0.25">
      <c r="A396" s="25">
        <v>393</v>
      </c>
      <c r="B396" s="25">
        <v>52</v>
      </c>
      <c r="C396" s="25" t="str">
        <f>INDEX(cursoDisciplina!$A$4:$F$112,MATCH(disciplinaGrade!B396,cursoDisciplina!$A$4:$A$112,0),MATCH(cursoDisciplina!$C$4,cursoDisciplina!$A$4:$F$4,0))</f>
        <v>curso 3</v>
      </c>
      <c r="D396" t="str">
        <f>INDEX(cursoDisciplina!$A$4:$F$112,MATCH(disciplinaGrade!B396,cursoDisciplina!$A$4:$A$112,0),MATCH(cursoDisciplina!$E$4,cursoDisciplina!$A$4:$F$4,0))</f>
        <v>Disciplina 23</v>
      </c>
      <c r="E396" t="s">
        <v>11</v>
      </c>
      <c r="F396" t="s">
        <v>10</v>
      </c>
      <c r="G396" s="25" t="s">
        <v>43</v>
      </c>
      <c r="H396" s="25" t="s">
        <v>43</v>
      </c>
      <c r="I396" s="25" t="s">
        <v>43</v>
      </c>
      <c r="J396" s="25" t="s">
        <v>43</v>
      </c>
      <c r="K396" s="25" t="s">
        <v>43</v>
      </c>
      <c r="L396" s="25" t="s">
        <v>43</v>
      </c>
    </row>
    <row r="397" spans="1:12" x14ac:dyDescent="0.25">
      <c r="A397" s="25">
        <v>394</v>
      </c>
      <c r="B397" s="25">
        <v>53</v>
      </c>
      <c r="C397" s="25" t="str">
        <f>INDEX(cursoDisciplina!$A$4:$F$112,MATCH(disciplinaGrade!B397,cursoDisciplina!$A$4:$A$112,0),MATCH(cursoDisciplina!$C$4,cursoDisciplina!$A$4:$F$4,0))</f>
        <v>curso 3</v>
      </c>
      <c r="D397" t="str">
        <f>INDEX(cursoDisciplina!$A$4:$F$112,MATCH(disciplinaGrade!B397,cursoDisciplina!$A$4:$A$112,0),MATCH(cursoDisciplina!$E$4,cursoDisciplina!$A$4:$F$4,0))</f>
        <v>Disciplina 24</v>
      </c>
      <c r="E397" t="s">
        <v>11</v>
      </c>
      <c r="F397" t="s">
        <v>10</v>
      </c>
      <c r="G397" s="25" t="s">
        <v>43</v>
      </c>
      <c r="H397" s="25" t="s">
        <v>43</v>
      </c>
      <c r="I397" s="25" t="s">
        <v>43</v>
      </c>
      <c r="J397" s="25" t="s">
        <v>43</v>
      </c>
      <c r="K397" s="25" t="s">
        <v>43</v>
      </c>
      <c r="L397" s="25" t="s">
        <v>43</v>
      </c>
    </row>
    <row r="398" spans="1:12" x14ac:dyDescent="0.25">
      <c r="A398" s="25">
        <v>395</v>
      </c>
      <c r="B398" s="25">
        <v>54</v>
      </c>
      <c r="C398" s="25" t="str">
        <f>INDEX(cursoDisciplina!$A$4:$F$112,MATCH(disciplinaGrade!B398,cursoDisciplina!$A$4:$A$112,0),MATCH(cursoDisciplina!$C$4,cursoDisciplina!$A$4:$F$4,0))</f>
        <v>curso 3</v>
      </c>
      <c r="D398" t="str">
        <f>INDEX(cursoDisciplina!$A$4:$F$112,MATCH(disciplinaGrade!B398,cursoDisciplina!$A$4:$A$112,0),MATCH(cursoDisciplina!$E$4,cursoDisciplina!$A$4:$F$4,0))</f>
        <v>Disciplina 25</v>
      </c>
      <c r="E398" t="s">
        <v>11</v>
      </c>
      <c r="F398" t="s">
        <v>10</v>
      </c>
      <c r="G398" s="25" t="s">
        <v>43</v>
      </c>
      <c r="H398" s="25" t="s">
        <v>43</v>
      </c>
      <c r="I398" s="25" t="s">
        <v>43</v>
      </c>
      <c r="J398" s="25" t="s">
        <v>43</v>
      </c>
      <c r="K398" s="25" t="s">
        <v>43</v>
      </c>
      <c r="L398" s="25" t="s">
        <v>43</v>
      </c>
    </row>
    <row r="399" spans="1:12" x14ac:dyDescent="0.25">
      <c r="A399" s="25">
        <v>396</v>
      </c>
      <c r="B399" s="25">
        <v>54</v>
      </c>
      <c r="C399" s="25" t="str">
        <f>INDEX(cursoDisciplina!$A$4:$F$112,MATCH(disciplinaGrade!B399,cursoDisciplina!$A$4:$A$112,0),MATCH(cursoDisciplina!$C$4,cursoDisciplina!$A$4:$F$4,0))</f>
        <v>curso 3</v>
      </c>
      <c r="D399" t="str">
        <f>INDEX(cursoDisciplina!$A$4:$F$112,MATCH(disciplinaGrade!B399,cursoDisciplina!$A$4:$A$112,0),MATCH(cursoDisciplina!$E$4,cursoDisciplina!$A$4:$F$4,0))</f>
        <v>Disciplina 25</v>
      </c>
      <c r="E399" t="s">
        <v>11</v>
      </c>
      <c r="F399" t="s">
        <v>10</v>
      </c>
      <c r="G399" s="25" t="s">
        <v>43</v>
      </c>
      <c r="H399" s="25" t="s">
        <v>43</v>
      </c>
      <c r="I399" s="25" t="s">
        <v>43</v>
      </c>
      <c r="J399" s="25" t="s">
        <v>43</v>
      </c>
      <c r="K399" s="25" t="s">
        <v>43</v>
      </c>
      <c r="L399" s="25" t="s">
        <v>43</v>
      </c>
    </row>
    <row r="400" spans="1:12" x14ac:dyDescent="0.25">
      <c r="A400" s="25">
        <v>397</v>
      </c>
      <c r="B400" s="25">
        <v>54</v>
      </c>
      <c r="C400" s="25" t="str">
        <f>INDEX(cursoDisciplina!$A$4:$F$112,MATCH(disciplinaGrade!B400,cursoDisciplina!$A$4:$A$112,0),MATCH(cursoDisciplina!$C$4,cursoDisciplina!$A$4:$F$4,0))</f>
        <v>curso 3</v>
      </c>
      <c r="D400" t="str">
        <f>INDEX(cursoDisciplina!$A$4:$F$112,MATCH(disciplinaGrade!B400,cursoDisciplina!$A$4:$A$112,0),MATCH(cursoDisciplina!$E$4,cursoDisciplina!$A$4:$F$4,0))</f>
        <v>Disciplina 25</v>
      </c>
      <c r="E400" t="s">
        <v>11</v>
      </c>
      <c r="F400" t="s">
        <v>10</v>
      </c>
      <c r="G400" s="25" t="s">
        <v>43</v>
      </c>
      <c r="H400" s="25" t="s">
        <v>43</v>
      </c>
      <c r="I400" s="25" t="s">
        <v>43</v>
      </c>
      <c r="J400" s="25" t="s">
        <v>43</v>
      </c>
      <c r="K400" s="25" t="s">
        <v>43</v>
      </c>
      <c r="L400" s="25" t="s">
        <v>43</v>
      </c>
    </row>
  </sheetData>
  <phoneticPr fontId="1" type="noConversion"/>
  <conditionalFormatting sqref="G4:L400">
    <cfRule type="cellIs" dxfId="0" priority="1" operator="equal">
      <formula>"X"</formula>
    </cfRule>
  </conditionalFormatting>
  <dataValidations count="3">
    <dataValidation type="list" allowBlank="1" showInputMessage="1" showErrorMessage="1" sqref="F4:F400" xr:uid="{CF6C06BC-667E-42EA-A2E1-2C05F1B29E3C}">
      <formula1>"Manha,Tarde,Noite"</formula1>
    </dataValidation>
    <dataValidation type="list" allowBlank="1" showInputMessage="1" showErrorMessage="1" sqref="G4:L400" xr:uid="{D8B9C379-FE30-47EE-965A-6F52DB9B6DD0}">
      <formula1>"----,X"</formula1>
    </dataValidation>
    <dataValidation type="list" allowBlank="1" showInputMessage="1" showErrorMessage="1" sqref="E4:E400" xr:uid="{C0BAE0E4-A0E9-45D7-8C5D-5594EB681E88}">
      <formula1>"Segunda,terça,Quarta,Quinta,Sexta,Sabado"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unidade</vt:lpstr>
      <vt:lpstr>parametros</vt:lpstr>
      <vt:lpstr>AulasRemotas</vt:lpstr>
      <vt:lpstr>Prof1-1234567</vt:lpstr>
      <vt:lpstr>calendarioFeriados</vt:lpstr>
      <vt:lpstr>cursos</vt:lpstr>
      <vt:lpstr>cursoDisciplina</vt:lpstr>
      <vt:lpstr>disciplinaBase</vt:lpstr>
      <vt:lpstr>disciplinaGrade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</dc:creator>
  <cp:lastModifiedBy>Carlos Henrique Verissimo Pereira</cp:lastModifiedBy>
  <dcterms:created xsi:type="dcterms:W3CDTF">2015-06-05T18:19:34Z</dcterms:created>
  <dcterms:modified xsi:type="dcterms:W3CDTF">2025-11-17T04:15:23Z</dcterms:modified>
</cp:coreProperties>
</file>